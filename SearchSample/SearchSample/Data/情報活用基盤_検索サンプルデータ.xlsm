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P3-TAKEO\Desktop\情報活用基盤検索サンプル\SearchSample\Data\"/>
    </mc:Choice>
  </mc:AlternateContent>
  <bookViews>
    <workbookView xWindow="0" yWindow="0" windowWidth="23700" windowHeight="11415" tabRatio="771" activeTab="2"/>
  </bookViews>
  <sheets>
    <sheet name="製造指図情報" sheetId="1" r:id="rId1"/>
    <sheet name="実行処方製品" sheetId="2" r:id="rId2"/>
    <sheet name="実行処方ヘッダ" sheetId="3" r:id="rId3"/>
    <sheet name="実行処方要素" sheetId="4" r:id="rId4"/>
    <sheet name="実行処方パラメータ" sheetId="5" r:id="rId5"/>
    <sheet name="実行処方リソース" sheetId="6" r:id="rId6"/>
    <sheet name="実行処方その他情報" sheetId="7" r:id="rId7"/>
    <sheet name="原材料引当" sheetId="8" r:id="rId8"/>
    <sheet name="検査性状値" sheetId="9" r:id="rId9"/>
    <sheet name="検査結果" sheetId="10" r:id="rId1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7" l="1"/>
  <c r="B13" i="7"/>
  <c r="C12" i="7"/>
  <c r="B12" i="7"/>
  <c r="C11" i="7"/>
  <c r="B11" i="7"/>
  <c r="C10" i="7"/>
  <c r="B10" i="7"/>
  <c r="C9" i="7"/>
  <c r="B9" i="7"/>
  <c r="C8" i="7"/>
  <c r="B8" i="7"/>
  <c r="C7" i="7"/>
  <c r="B7" i="7"/>
  <c r="C6" i="7"/>
  <c r="B6" i="7"/>
  <c r="C5" i="7"/>
  <c r="B5" i="7"/>
  <c r="C4" i="7"/>
  <c r="B4" i="7"/>
  <c r="C3" i="7"/>
  <c r="B3" i="7"/>
  <c r="C2" i="7"/>
  <c r="B2" i="7"/>
  <c r="C13" i="6"/>
  <c r="B13" i="6"/>
  <c r="C12" i="6"/>
  <c r="B12" i="6"/>
  <c r="C11" i="6"/>
  <c r="B11" i="6"/>
  <c r="C10" i="6"/>
  <c r="B10" i="6"/>
  <c r="C9" i="6"/>
  <c r="B9" i="6"/>
  <c r="C8" i="6"/>
  <c r="B8" i="6"/>
  <c r="C7" i="6"/>
  <c r="B7" i="6"/>
  <c r="C6" i="6"/>
  <c r="B6" i="6"/>
  <c r="C5" i="6"/>
  <c r="B5" i="6"/>
  <c r="C4" i="6"/>
  <c r="B4" i="6"/>
  <c r="C3" i="6"/>
  <c r="B3" i="6"/>
  <c r="C2" i="6"/>
  <c r="B2" i="6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C2" i="5"/>
  <c r="B2" i="5"/>
  <c r="B3" i="4"/>
  <c r="C3" i="4"/>
  <c r="B4" i="4"/>
  <c r="C4" i="4"/>
  <c r="B5" i="4"/>
  <c r="C5" i="4"/>
  <c r="B6" i="4"/>
  <c r="C6" i="4"/>
  <c r="B7" i="4"/>
  <c r="C7" i="4"/>
  <c r="C2" i="4"/>
  <c r="B2" i="4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C3" i="2"/>
  <c r="C4" i="2"/>
  <c r="C2" i="2"/>
  <c r="C13" i="10" l="1"/>
  <c r="B13" i="10"/>
  <c r="A13" i="10"/>
  <c r="C12" i="10"/>
  <c r="B12" i="10"/>
  <c r="A12" i="10"/>
  <c r="C11" i="10"/>
  <c r="B11" i="10"/>
  <c r="A11" i="10"/>
  <c r="C10" i="10"/>
  <c r="B10" i="10"/>
  <c r="A10" i="10"/>
  <c r="C9" i="10"/>
  <c r="B9" i="10"/>
  <c r="A9" i="10"/>
  <c r="C8" i="10"/>
  <c r="B8" i="10"/>
  <c r="A8" i="10"/>
  <c r="C7" i="10"/>
  <c r="B7" i="10"/>
  <c r="A7" i="10"/>
  <c r="C6" i="10"/>
  <c r="B6" i="10"/>
  <c r="A6" i="10"/>
  <c r="C5" i="10"/>
  <c r="B5" i="10"/>
  <c r="A5" i="10"/>
  <c r="C4" i="10"/>
  <c r="B4" i="10"/>
  <c r="A4" i="10"/>
  <c r="C3" i="10"/>
  <c r="B3" i="10"/>
  <c r="A3" i="10"/>
  <c r="C2" i="10"/>
  <c r="B2" i="10"/>
  <c r="A2" i="10"/>
  <c r="F2" i="10"/>
  <c r="G2" i="10"/>
  <c r="H2" i="10"/>
  <c r="I2" i="10"/>
  <c r="J2" i="10"/>
  <c r="F3" i="10"/>
  <c r="G3" i="10"/>
  <c r="H3" i="10"/>
  <c r="I3" i="10"/>
  <c r="J3" i="10"/>
  <c r="F4" i="10"/>
  <c r="G4" i="10"/>
  <c r="H4" i="10"/>
  <c r="I4" i="10"/>
  <c r="J4" i="10"/>
  <c r="F5" i="10"/>
  <c r="G5" i="10"/>
  <c r="H5" i="10"/>
  <c r="I5" i="10"/>
  <c r="J5" i="10"/>
  <c r="F6" i="10"/>
  <c r="G6" i="10"/>
  <c r="H6" i="10"/>
  <c r="I6" i="10"/>
  <c r="J6" i="10"/>
  <c r="F7" i="10"/>
  <c r="G7" i="10"/>
  <c r="H7" i="10"/>
  <c r="I7" i="10"/>
  <c r="J7" i="10"/>
  <c r="F8" i="10"/>
  <c r="G8" i="10"/>
  <c r="H8" i="10"/>
  <c r="I8" i="10"/>
  <c r="J8" i="10"/>
  <c r="F9" i="10"/>
  <c r="G9" i="10"/>
  <c r="H9" i="10"/>
  <c r="I9" i="10"/>
  <c r="J9" i="10"/>
  <c r="F10" i="10"/>
  <c r="G10" i="10"/>
  <c r="H10" i="10"/>
  <c r="I10" i="10"/>
  <c r="J10" i="10"/>
  <c r="F11" i="10"/>
  <c r="G11" i="10"/>
  <c r="H11" i="10"/>
  <c r="I11" i="10"/>
  <c r="J11" i="10"/>
  <c r="F12" i="10"/>
  <c r="G12" i="10"/>
  <c r="H12" i="10"/>
  <c r="I12" i="10"/>
  <c r="J12" i="10"/>
  <c r="F13" i="10"/>
  <c r="G13" i="10"/>
  <c r="H13" i="10"/>
  <c r="I13" i="10"/>
  <c r="J13" i="10"/>
  <c r="E3" i="10"/>
  <c r="E4" i="10"/>
  <c r="E5" i="10"/>
  <c r="E6" i="10"/>
  <c r="E7" i="10"/>
  <c r="E8" i="10"/>
  <c r="E9" i="10"/>
  <c r="E10" i="10"/>
  <c r="E11" i="10"/>
  <c r="E12" i="10"/>
  <c r="E13" i="10"/>
  <c r="E2" i="10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E3" i="8"/>
  <c r="E4" i="8"/>
  <c r="E5" i="8"/>
  <c r="E6" i="8"/>
  <c r="E7" i="8"/>
  <c r="E8" i="8"/>
  <c r="E9" i="8"/>
  <c r="E10" i="8"/>
  <c r="E11" i="8"/>
  <c r="E12" i="8"/>
  <c r="E13" i="8"/>
  <c r="E2" i="8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G9" i="7"/>
  <c r="H9" i="7"/>
  <c r="I9" i="7"/>
  <c r="J9" i="7"/>
  <c r="K9" i="7"/>
  <c r="L9" i="7"/>
  <c r="M9" i="7"/>
  <c r="N9" i="7"/>
  <c r="O9" i="7"/>
  <c r="P9" i="7"/>
  <c r="Q9" i="7"/>
  <c r="R9" i="7"/>
  <c r="S9" i="7"/>
  <c r="T9" i="7"/>
  <c r="U9" i="7"/>
  <c r="V9" i="7"/>
  <c r="W9" i="7"/>
  <c r="X9" i="7"/>
  <c r="Y9" i="7"/>
  <c r="Z9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Z10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X11" i="7"/>
  <c r="Y11" i="7"/>
  <c r="Z11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Z13" i="7"/>
  <c r="F13" i="7"/>
  <c r="F12" i="7"/>
  <c r="F11" i="7"/>
  <c r="F10" i="7"/>
  <c r="F9" i="7"/>
  <c r="F8" i="7"/>
  <c r="F7" i="7"/>
  <c r="F6" i="7"/>
  <c r="F5" i="7"/>
  <c r="F4" i="7"/>
  <c r="F3" i="7"/>
  <c r="F2" i="7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BU13" i="5"/>
  <c r="BT13" i="5"/>
  <c r="BS13" i="5"/>
  <c r="BR13" i="5"/>
  <c r="BQ13" i="5"/>
  <c r="BP13" i="5"/>
  <c r="BO13" i="5"/>
  <c r="BN13" i="5"/>
  <c r="BM13" i="5"/>
  <c r="BL13" i="5"/>
  <c r="BK13" i="5"/>
  <c r="BJ13" i="5"/>
  <c r="BI13" i="5"/>
  <c r="BH13" i="5"/>
  <c r="BG13" i="5"/>
  <c r="BF13" i="5"/>
  <c r="BE13" i="5"/>
  <c r="BD13" i="5"/>
  <c r="BC13" i="5"/>
  <c r="BB13" i="5"/>
  <c r="BA13" i="5"/>
  <c r="AZ13" i="5"/>
  <c r="AY13" i="5"/>
  <c r="AX13" i="5"/>
  <c r="AW13" i="5"/>
  <c r="AV13" i="5"/>
  <c r="AU13" i="5"/>
  <c r="AT13" i="5"/>
  <c r="AS13" i="5"/>
  <c r="AR13" i="5"/>
  <c r="AQ13" i="5"/>
  <c r="AP13" i="5"/>
  <c r="AO13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BU12" i="5"/>
  <c r="BT12" i="5"/>
  <c r="BS12" i="5"/>
  <c r="BR12" i="5"/>
  <c r="BQ12" i="5"/>
  <c r="BP12" i="5"/>
  <c r="BO12" i="5"/>
  <c r="BN12" i="5"/>
  <c r="BM12" i="5"/>
  <c r="BL12" i="5"/>
  <c r="BK12" i="5"/>
  <c r="BJ12" i="5"/>
  <c r="BI12" i="5"/>
  <c r="BH12" i="5"/>
  <c r="BG12" i="5"/>
  <c r="BF12" i="5"/>
  <c r="BE12" i="5"/>
  <c r="BD12" i="5"/>
  <c r="BC12" i="5"/>
  <c r="BB12" i="5"/>
  <c r="BA12" i="5"/>
  <c r="AZ12" i="5"/>
  <c r="AY12" i="5"/>
  <c r="AX12" i="5"/>
  <c r="AW12" i="5"/>
  <c r="AV12" i="5"/>
  <c r="AU12" i="5"/>
  <c r="AT12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BU11" i="5"/>
  <c r="BT11" i="5"/>
  <c r="BS11" i="5"/>
  <c r="BR11" i="5"/>
  <c r="BQ11" i="5"/>
  <c r="BP11" i="5"/>
  <c r="BO11" i="5"/>
  <c r="BN11" i="5"/>
  <c r="BM11" i="5"/>
  <c r="BL11" i="5"/>
  <c r="BK11" i="5"/>
  <c r="BJ11" i="5"/>
  <c r="BI11" i="5"/>
  <c r="BH11" i="5"/>
  <c r="BG11" i="5"/>
  <c r="BF11" i="5"/>
  <c r="BE11" i="5"/>
  <c r="BD11" i="5"/>
  <c r="BC11" i="5"/>
  <c r="BB11" i="5"/>
  <c r="BA11" i="5"/>
  <c r="AZ11" i="5"/>
  <c r="AY11" i="5"/>
  <c r="AX11" i="5"/>
  <c r="AW11" i="5"/>
  <c r="AV11" i="5"/>
  <c r="AU11" i="5"/>
  <c r="AT11" i="5"/>
  <c r="AS11" i="5"/>
  <c r="AR11" i="5"/>
  <c r="AQ11" i="5"/>
  <c r="AP11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BU10" i="5"/>
  <c r="BT10" i="5"/>
  <c r="BS10" i="5"/>
  <c r="BR10" i="5"/>
  <c r="BQ10" i="5"/>
  <c r="BP10" i="5"/>
  <c r="BO10" i="5"/>
  <c r="BN10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BU9" i="5"/>
  <c r="BT9" i="5"/>
  <c r="BS9" i="5"/>
  <c r="BR9" i="5"/>
  <c r="BQ9" i="5"/>
  <c r="BP9" i="5"/>
  <c r="BO9" i="5"/>
  <c r="BN9" i="5"/>
  <c r="BM9" i="5"/>
  <c r="BL9" i="5"/>
  <c r="BK9" i="5"/>
  <c r="BJ9" i="5"/>
  <c r="BI9" i="5"/>
  <c r="BH9" i="5"/>
  <c r="BG9" i="5"/>
  <c r="BF9" i="5"/>
  <c r="BE9" i="5"/>
  <c r="BD9" i="5"/>
  <c r="BC9" i="5"/>
  <c r="BB9" i="5"/>
  <c r="BA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F6" i="5"/>
  <c r="BE6" i="5"/>
  <c r="BD6" i="5"/>
  <c r="BC6" i="5"/>
  <c r="BB6" i="5"/>
  <c r="BA6" i="5"/>
  <c r="AZ6" i="5"/>
  <c r="AY6" i="5"/>
  <c r="AX6" i="5"/>
  <c r="AW6" i="5"/>
  <c r="AV6" i="5"/>
  <c r="AU6" i="5"/>
  <c r="AT6" i="5"/>
  <c r="AS6" i="5"/>
  <c r="AR6" i="5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BU3" i="5"/>
  <c r="BT3" i="5"/>
  <c r="BS3" i="5"/>
  <c r="BR3" i="5"/>
  <c r="BQ3" i="5"/>
  <c r="BP3" i="5"/>
  <c r="BO3" i="5"/>
  <c r="BN3" i="5"/>
  <c r="BM3" i="5"/>
  <c r="BL3" i="5"/>
  <c r="BK3" i="5"/>
  <c r="BJ3" i="5"/>
  <c r="BI3" i="5"/>
  <c r="BH3" i="5"/>
  <c r="BG3" i="5"/>
  <c r="BF3" i="5"/>
  <c r="BE3" i="5"/>
  <c r="BD3" i="5"/>
  <c r="BC3" i="5"/>
  <c r="BB3" i="5"/>
  <c r="BA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BU2" i="5"/>
  <c r="BT2" i="5"/>
  <c r="BS2" i="5"/>
  <c r="BR2" i="5"/>
  <c r="BQ2" i="5"/>
  <c r="BP2" i="5"/>
  <c r="BO2" i="5"/>
  <c r="BN2" i="5"/>
  <c r="BM2" i="5"/>
  <c r="BL2" i="5"/>
  <c r="BK2" i="5"/>
  <c r="BJ2" i="5"/>
  <c r="BI2" i="5"/>
  <c r="BH2" i="5"/>
  <c r="BG2" i="5"/>
  <c r="BF2" i="5"/>
  <c r="BE2" i="5"/>
  <c r="BD2" i="5"/>
  <c r="BC2" i="5"/>
  <c r="BB2" i="5"/>
  <c r="BA2" i="5"/>
  <c r="AZ2" i="5"/>
  <c r="AY2" i="5"/>
  <c r="AX2" i="5"/>
  <c r="AW2" i="5"/>
  <c r="AV2" i="5"/>
  <c r="AU2" i="5"/>
  <c r="AT2" i="5"/>
  <c r="AS2" i="5"/>
  <c r="AR2" i="5"/>
  <c r="AQ2" i="5"/>
  <c r="AP2" i="5"/>
  <c r="AO2" i="5"/>
  <c r="AN2" i="5"/>
  <c r="AM2" i="5"/>
  <c r="AL2" i="5"/>
  <c r="AK2" i="5"/>
  <c r="AJ2" i="5"/>
  <c r="AI2" i="5"/>
  <c r="AH2" i="5"/>
  <c r="AG2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J2" i="3"/>
  <c r="R2" i="3"/>
  <c r="Z2" i="3"/>
  <c r="AH2" i="3"/>
  <c r="AP2" i="3"/>
  <c r="J3" i="3"/>
  <c r="R3" i="3"/>
  <c r="Z3" i="3"/>
  <c r="AH3" i="3"/>
  <c r="AP3" i="3"/>
  <c r="V3" i="4"/>
  <c r="W2" i="4"/>
  <c r="C4" i="3"/>
  <c r="C3" i="3"/>
  <c r="C2" i="3"/>
  <c r="D3" i="1"/>
  <c r="F4" i="1"/>
  <c r="F2" i="1"/>
  <c r="AO3" i="3" l="1"/>
  <c r="AG3" i="3"/>
  <c r="Y3" i="3"/>
  <c r="Q3" i="3"/>
  <c r="I3" i="3"/>
  <c r="AO2" i="3"/>
  <c r="AG2" i="3"/>
  <c r="Y2" i="3"/>
  <c r="Q2" i="3"/>
  <c r="I2" i="3"/>
  <c r="AL3" i="3"/>
  <c r="AD3" i="3"/>
  <c r="V3" i="3"/>
  <c r="N3" i="3"/>
  <c r="F3" i="3"/>
  <c r="AL2" i="3"/>
  <c r="AD2" i="3"/>
  <c r="V2" i="3"/>
  <c r="N2" i="3"/>
  <c r="F2" i="3"/>
  <c r="B2" i="3"/>
  <c r="AK3" i="3"/>
  <c r="AC3" i="3"/>
  <c r="U3" i="3"/>
  <c r="M3" i="3"/>
  <c r="E3" i="3"/>
  <c r="AK2" i="3"/>
  <c r="AC2" i="3"/>
  <c r="U2" i="3"/>
  <c r="M2" i="3"/>
  <c r="E2" i="3"/>
  <c r="M2" i="1"/>
  <c r="M4" i="1"/>
  <c r="I2" i="1"/>
  <c r="I4" i="1"/>
  <c r="E2" i="1"/>
  <c r="E4" i="1"/>
  <c r="B4" i="3"/>
  <c r="AN4" i="3"/>
  <c r="AJ4" i="3"/>
  <c r="AB4" i="3"/>
  <c r="X4" i="3"/>
  <c r="T4" i="3"/>
  <c r="P4" i="3"/>
  <c r="L4" i="3"/>
  <c r="H4" i="3"/>
  <c r="D4" i="3"/>
  <c r="AN3" i="3"/>
  <c r="AJ3" i="3"/>
  <c r="AF3" i="3"/>
  <c r="AB3" i="3"/>
  <c r="X3" i="3"/>
  <c r="T3" i="3"/>
  <c r="P3" i="3"/>
  <c r="L3" i="3"/>
  <c r="H3" i="3"/>
  <c r="D3" i="3"/>
  <c r="AN2" i="3"/>
  <c r="AJ2" i="3"/>
  <c r="AF2" i="3"/>
  <c r="AB2" i="3"/>
  <c r="X2" i="3"/>
  <c r="T2" i="3"/>
  <c r="P2" i="3"/>
  <c r="L2" i="3"/>
  <c r="H2" i="3"/>
  <c r="D2" i="3"/>
  <c r="AP4" i="3"/>
  <c r="AL4" i="3"/>
  <c r="AH4" i="3"/>
  <c r="AD4" i="3"/>
  <c r="Z4" i="3"/>
  <c r="V4" i="3"/>
  <c r="R4" i="3"/>
  <c r="N4" i="3"/>
  <c r="J4" i="3"/>
  <c r="F4" i="3"/>
  <c r="AO4" i="3"/>
  <c r="AK4" i="3"/>
  <c r="AG4" i="3"/>
  <c r="AC4" i="3"/>
  <c r="Y4" i="3"/>
  <c r="U4" i="3"/>
  <c r="Q4" i="3"/>
  <c r="M4" i="3"/>
  <c r="I4" i="3"/>
  <c r="E4" i="3"/>
  <c r="AF4" i="3"/>
  <c r="B3" i="3"/>
  <c r="AM4" i="3"/>
  <c r="AI4" i="3"/>
  <c r="AA4" i="3"/>
  <c r="W4" i="3"/>
  <c r="S4" i="3"/>
  <c r="O4" i="3"/>
  <c r="K4" i="3"/>
  <c r="G4" i="3"/>
  <c r="AM3" i="3"/>
  <c r="AI3" i="3"/>
  <c r="AA3" i="3"/>
  <c r="W3" i="3"/>
  <c r="S3" i="3"/>
  <c r="O3" i="3"/>
  <c r="K3" i="3"/>
  <c r="G3" i="3"/>
  <c r="AM2" i="3"/>
  <c r="AI2" i="3"/>
  <c r="AA2" i="3"/>
  <c r="W2" i="3"/>
  <c r="S2" i="3"/>
  <c r="O2" i="3"/>
  <c r="K2" i="3"/>
  <c r="G2" i="3"/>
  <c r="O3" i="1"/>
  <c r="G3" i="1"/>
  <c r="P4" i="1"/>
  <c r="L4" i="1"/>
  <c r="H4" i="1"/>
  <c r="D4" i="1"/>
  <c r="N3" i="1"/>
  <c r="J3" i="1"/>
  <c r="F3" i="1"/>
  <c r="P2" i="1"/>
  <c r="L2" i="1"/>
  <c r="H2" i="1"/>
  <c r="D2" i="1"/>
  <c r="B3" i="1"/>
  <c r="B2" i="1"/>
  <c r="O4" i="1"/>
  <c r="K4" i="1"/>
  <c r="G4" i="1"/>
  <c r="C4" i="1"/>
  <c r="M3" i="1"/>
  <c r="I3" i="1"/>
  <c r="E3" i="1"/>
  <c r="O2" i="1"/>
  <c r="K2" i="1"/>
  <c r="G2" i="1"/>
  <c r="C2" i="1"/>
  <c r="K3" i="1"/>
  <c r="C3" i="1"/>
  <c r="B4" i="1"/>
  <c r="N4" i="1"/>
  <c r="J4" i="1"/>
  <c r="P3" i="1"/>
  <c r="L3" i="1"/>
  <c r="H3" i="1"/>
  <c r="N2" i="1"/>
  <c r="J2" i="1"/>
  <c r="X2" i="4"/>
  <c r="S3" i="4"/>
  <c r="H2" i="4"/>
  <c r="L2" i="4"/>
  <c r="G3" i="4"/>
  <c r="W3" i="4"/>
  <c r="P2" i="4"/>
  <c r="K3" i="4"/>
  <c r="T2" i="4"/>
  <c r="O3" i="4"/>
  <c r="E2" i="4"/>
  <c r="I2" i="4"/>
  <c r="M2" i="4"/>
  <c r="Q2" i="4"/>
  <c r="U2" i="4"/>
  <c r="Y2" i="4"/>
  <c r="H3" i="4"/>
  <c r="L3" i="4"/>
  <c r="P3" i="4"/>
  <c r="T3" i="4"/>
  <c r="X3" i="4"/>
  <c r="F2" i="4"/>
  <c r="J2" i="4"/>
  <c r="N2" i="4"/>
  <c r="R2" i="4"/>
  <c r="V2" i="4"/>
  <c r="E3" i="4"/>
  <c r="I3" i="4"/>
  <c r="M3" i="4"/>
  <c r="Q3" i="4"/>
  <c r="U3" i="4"/>
  <c r="Y3" i="4"/>
  <c r="G2" i="4"/>
  <c r="K2" i="4"/>
  <c r="O2" i="4"/>
  <c r="S2" i="4"/>
  <c r="F3" i="4"/>
  <c r="J3" i="4"/>
  <c r="N3" i="4"/>
  <c r="R3" i="4"/>
  <c r="B13" i="9"/>
  <c r="G13" i="9"/>
  <c r="H13" i="9"/>
  <c r="I13" i="9"/>
  <c r="F13" i="9"/>
  <c r="K13" i="9"/>
  <c r="L13" i="9"/>
  <c r="J13" i="9"/>
  <c r="M13" i="9"/>
  <c r="E13" i="9"/>
  <c r="C13" i="9"/>
  <c r="D13" i="9"/>
  <c r="C9" i="9"/>
  <c r="D9" i="9"/>
  <c r="B9" i="9"/>
  <c r="G9" i="9"/>
  <c r="H9" i="9"/>
  <c r="M9" i="9"/>
  <c r="F9" i="9"/>
  <c r="K9" i="9"/>
  <c r="L9" i="9"/>
  <c r="J9" i="9"/>
  <c r="I9" i="9"/>
  <c r="E9" i="9"/>
  <c r="J5" i="9"/>
  <c r="I5" i="9"/>
  <c r="E5" i="9"/>
  <c r="C5" i="9"/>
  <c r="D5" i="9"/>
  <c r="B5" i="9"/>
  <c r="G5" i="9"/>
  <c r="H5" i="9"/>
  <c r="M5" i="9"/>
  <c r="F5" i="9"/>
  <c r="K5" i="9"/>
  <c r="L5" i="9"/>
  <c r="F3" i="9"/>
  <c r="K3" i="9"/>
  <c r="H3" i="9"/>
  <c r="J3" i="9"/>
  <c r="E3" i="9"/>
  <c r="L3" i="9"/>
  <c r="C3" i="9"/>
  <c r="M3" i="9"/>
  <c r="B3" i="9"/>
  <c r="G3" i="9"/>
  <c r="D3" i="9"/>
  <c r="I3" i="9"/>
  <c r="B4" i="9"/>
  <c r="G4" i="9"/>
  <c r="H4" i="9"/>
  <c r="I4" i="9"/>
  <c r="F4" i="9"/>
  <c r="K4" i="9"/>
  <c r="L4" i="9"/>
  <c r="J4" i="9"/>
  <c r="M4" i="9"/>
  <c r="E4" i="9"/>
  <c r="C4" i="9"/>
  <c r="D4" i="9"/>
  <c r="C6" i="9"/>
  <c r="M6" i="9"/>
  <c r="B6" i="9"/>
  <c r="G6" i="9"/>
  <c r="D6" i="9"/>
  <c r="I6" i="9"/>
  <c r="F6" i="9"/>
  <c r="K6" i="9"/>
  <c r="H6" i="9"/>
  <c r="J6" i="9"/>
  <c r="E6" i="9"/>
  <c r="L6" i="9"/>
  <c r="J7" i="9"/>
  <c r="I7" i="9"/>
  <c r="E7" i="9"/>
  <c r="C7" i="9"/>
  <c r="D7" i="9"/>
  <c r="B7" i="9"/>
  <c r="G7" i="9"/>
  <c r="H7" i="9"/>
  <c r="M7" i="9"/>
  <c r="F7" i="9"/>
  <c r="K7" i="9"/>
  <c r="L7" i="9"/>
  <c r="F8" i="9"/>
  <c r="K8" i="9"/>
  <c r="H8" i="9"/>
  <c r="J8" i="9"/>
  <c r="E8" i="9"/>
  <c r="L8" i="9"/>
  <c r="I8" i="9"/>
  <c r="C8" i="9"/>
  <c r="M8" i="9"/>
  <c r="B8" i="9"/>
  <c r="G8" i="9"/>
  <c r="D8" i="9"/>
  <c r="B10" i="9"/>
  <c r="C10" i="9"/>
  <c r="D10" i="9"/>
  <c r="M10" i="9"/>
  <c r="I10" i="9"/>
  <c r="F10" i="9"/>
  <c r="G10" i="9"/>
  <c r="H10" i="9"/>
  <c r="J10" i="9"/>
  <c r="K10" i="9"/>
  <c r="L10" i="9"/>
  <c r="E10" i="9"/>
  <c r="C11" i="9"/>
  <c r="I11" i="9"/>
  <c r="L11" i="9"/>
  <c r="B11" i="9"/>
  <c r="G11" i="9"/>
  <c r="D11" i="9"/>
  <c r="M11" i="9"/>
  <c r="J11" i="9"/>
  <c r="F11" i="9"/>
  <c r="K11" i="9"/>
  <c r="H11" i="9"/>
  <c r="E11" i="9"/>
  <c r="J12" i="9"/>
  <c r="E12" i="9"/>
  <c r="L12" i="9"/>
  <c r="C12" i="9"/>
  <c r="M12" i="9"/>
  <c r="F12" i="9"/>
  <c r="H12" i="9"/>
  <c r="B12" i="9"/>
  <c r="G12" i="9"/>
  <c r="D12" i="9"/>
  <c r="I12" i="9"/>
  <c r="K12" i="9"/>
  <c r="G2" i="9"/>
  <c r="H2" i="9"/>
  <c r="I2" i="9"/>
  <c r="C2" i="9"/>
  <c r="K2" i="9"/>
  <c r="L2" i="9"/>
  <c r="M2" i="9"/>
  <c r="B2" i="9"/>
  <c r="F2" i="9"/>
  <c r="J2" i="9"/>
  <c r="D2" i="9"/>
  <c r="E2" i="9"/>
</calcChain>
</file>

<file path=xl/sharedStrings.xml><?xml version="1.0" encoding="utf-8"?>
<sst xmlns="http://schemas.openxmlformats.org/spreadsheetml/2006/main" count="495" uniqueCount="231">
  <si>
    <t>製造指図番号</t>
  </si>
  <si>
    <t>製造指図ステータス</t>
  </si>
  <si>
    <t>品目コード</t>
  </si>
  <si>
    <t>品名</t>
  </si>
  <si>
    <t>SAP製造指図番号</t>
  </si>
  <si>
    <t>ASTキー</t>
  </si>
  <si>
    <t>指図作成区分</t>
  </si>
  <si>
    <t>ASTPLANNER計画取込状態</t>
  </si>
  <si>
    <t>ASTPLANNER計画取込状態変更者</t>
  </si>
  <si>
    <t>ASTPLANNER計画取込状態変更日時</t>
  </si>
  <si>
    <t>Exapilot連携状況</t>
  </si>
  <si>
    <t>製造指図確認者</t>
  </si>
  <si>
    <t>製造指図確認日</t>
  </si>
  <si>
    <t>充填包装確認者</t>
  </si>
  <si>
    <t>充填包装確認日</t>
  </si>
  <si>
    <t>締め実行フラグ</t>
  </si>
  <si>
    <t>連番</t>
  </si>
  <si>
    <t>処方ID</t>
  </si>
  <si>
    <t>処方バージョン</t>
  </si>
  <si>
    <t>処方製品連番</t>
  </si>
  <si>
    <t>表示順</t>
  </si>
  <si>
    <t>製品種別</t>
  </si>
  <si>
    <t>荷姿コード</t>
  </si>
  <si>
    <t>荷姿名</t>
  </si>
  <si>
    <t>入り目</t>
  </si>
  <si>
    <t>小数点以下有効桁数</t>
  </si>
  <si>
    <t>端数処理コード</t>
  </si>
  <si>
    <t>製品グループ</t>
  </si>
  <si>
    <t>製品コード</t>
  </si>
  <si>
    <t>製品グレード</t>
  </si>
  <si>
    <t>製品名</t>
  </si>
  <si>
    <t>製造予定量</t>
  </si>
  <si>
    <t>備考</t>
  </si>
  <si>
    <t>向け先コード</t>
  </si>
  <si>
    <t>向け先名称</t>
  </si>
  <si>
    <t>出荷ロット</t>
  </si>
  <si>
    <t>SAPロット</t>
  </si>
  <si>
    <t>在庫ユニークキー</t>
  </si>
  <si>
    <t>製造予定量確定値</t>
  </si>
  <si>
    <t>製造実績量収集値</t>
  </si>
  <si>
    <t>製造実績量確定値</t>
  </si>
  <si>
    <t>SAP製造日</t>
  </si>
  <si>
    <t>SAP保証日</t>
  </si>
  <si>
    <t>有効期限（自）</t>
  </si>
  <si>
    <t>有効期限（至）</t>
  </si>
  <si>
    <t>系列コード</t>
  </si>
  <si>
    <t>組織コード</t>
  </si>
  <si>
    <t>組織名</t>
  </si>
  <si>
    <t>処方スケール</t>
  </si>
  <si>
    <t>単位</t>
  </si>
  <si>
    <t>最大値</t>
  </si>
  <si>
    <t>最小値</t>
  </si>
  <si>
    <t>理論収量設定値</t>
  </si>
  <si>
    <t>処方作成日時</t>
  </si>
  <si>
    <t>処方承認日時</t>
  </si>
  <si>
    <t>処方作成者</t>
  </si>
  <si>
    <t>処方承認者</t>
  </si>
  <si>
    <t>元処方ID</t>
  </si>
  <si>
    <t>元処方バージョン</t>
  </si>
  <si>
    <t>有効期間ID</t>
  </si>
  <si>
    <t>SAP製造バージョン</t>
  </si>
  <si>
    <t>バッチ実行回数</t>
  </si>
  <si>
    <t>製造予定数量</t>
  </si>
  <si>
    <t>製造実績数量</t>
  </si>
  <si>
    <t>開始予定日時</t>
  </si>
  <si>
    <t>終了予定日時</t>
  </si>
  <si>
    <t>開始実績日時</t>
  </si>
  <si>
    <t>終了実績日時</t>
  </si>
  <si>
    <t>製造ロット</t>
  </si>
  <si>
    <t>着手実績日時</t>
  </si>
  <si>
    <t>中止実績日時</t>
  </si>
  <si>
    <t>Exapilot終了実績日時</t>
  </si>
  <si>
    <t>Exapilot中止実績日時</t>
  </si>
  <si>
    <t>収量用ブレンド量</t>
  </si>
  <si>
    <t>収量</t>
  </si>
  <si>
    <t>理論収量</t>
  </si>
  <si>
    <t>収率</t>
  </si>
  <si>
    <t>製造指図メモ</t>
  </si>
  <si>
    <t>ステップID</t>
  </si>
  <si>
    <t>要素名称</t>
  </si>
  <si>
    <t>工程予定時間</t>
  </si>
  <si>
    <t>工程標準廃液量</t>
  </si>
  <si>
    <t>機器グループID</t>
  </si>
  <si>
    <t>前段取り時間</t>
  </si>
  <si>
    <t>製造時間</t>
  </si>
  <si>
    <t>後段取り時間</t>
  </si>
  <si>
    <t>標準廃液量</t>
  </si>
  <si>
    <t>後続ステップID</t>
  </si>
  <si>
    <t>工程ステータス</t>
  </si>
  <si>
    <t>工程終了取消フラグ</t>
  </si>
  <si>
    <t>使用機器ID</t>
  </si>
  <si>
    <t>実績前段取り時間</t>
  </si>
  <si>
    <t>実績製造時間</t>
  </si>
  <si>
    <t>実績後段取り時間</t>
  </si>
  <si>
    <t>工程指図メモ</t>
  </si>
  <si>
    <t>パラメータID</t>
  </si>
  <si>
    <t>パラメータ名称</t>
  </si>
  <si>
    <t>設定値</t>
  </si>
  <si>
    <t>工業単位</t>
  </si>
  <si>
    <t>指図確定時確認</t>
  </si>
  <si>
    <t>実績収集</t>
  </si>
  <si>
    <t>パラメータ属性</t>
  </si>
  <si>
    <t>ExapilotDL対象</t>
  </si>
  <si>
    <t>パラメータ種別</t>
  </si>
  <si>
    <t>SAP構成品明細番号</t>
  </si>
  <si>
    <t>原材料グレード</t>
  </si>
  <si>
    <t>計量パターン</t>
  </si>
  <si>
    <t>計量上限</t>
  </si>
  <si>
    <t>計量下限</t>
  </si>
  <si>
    <t>仕込パターン</t>
  </si>
  <si>
    <t>端切単位</t>
  </si>
  <si>
    <t>原材料投入口</t>
  </si>
  <si>
    <t>廃液排出予定時間</t>
  </si>
  <si>
    <t>廃液排出タンク</t>
  </si>
  <si>
    <t>充填パターン</t>
  </si>
  <si>
    <t>充填包装設備</t>
  </si>
  <si>
    <t>荷姿名称</t>
  </si>
  <si>
    <t>荷姿数量</t>
  </si>
  <si>
    <t>荷姿個数</t>
  </si>
  <si>
    <t>数量</t>
  </si>
  <si>
    <t>サンプル採取予定時刻</t>
  </si>
  <si>
    <t>サンプルコード</t>
  </si>
  <si>
    <t>プロトコルコード</t>
  </si>
  <si>
    <t>SAP消費生産</t>
  </si>
  <si>
    <t>在庫受払対象</t>
  </si>
  <si>
    <t>SAP連携対象</t>
  </si>
  <si>
    <t>確定値</t>
  </si>
  <si>
    <t>実績収集値</t>
  </si>
  <si>
    <t>実績確定値</t>
  </si>
  <si>
    <t>設定値変更者</t>
  </si>
  <si>
    <t>設定値変更日時</t>
  </si>
  <si>
    <t>実績値変更者</t>
  </si>
  <si>
    <t>実績値変更日時</t>
  </si>
  <si>
    <t>設定値確認者</t>
  </si>
  <si>
    <t>設定値確認日時</t>
  </si>
  <si>
    <t>実績値確認者</t>
  </si>
  <si>
    <t>実績値確認日時</t>
  </si>
  <si>
    <t>実績品目コード</t>
  </si>
  <si>
    <t>実績品名</t>
  </si>
  <si>
    <t>実績ロット</t>
  </si>
  <si>
    <t>実績廃液排出時間</t>
  </si>
  <si>
    <t>実績サンプル採取時間</t>
  </si>
  <si>
    <t>MES検査予定番号</t>
  </si>
  <si>
    <t>実績サンプルコード</t>
  </si>
  <si>
    <t>実績プロトコルコード</t>
  </si>
  <si>
    <t>Lab-Aid依頼番号</t>
  </si>
  <si>
    <t>Lab-Aid合否判定</t>
  </si>
  <si>
    <t>計量支援指図番号</t>
  </si>
  <si>
    <t>実績荷姿コード</t>
  </si>
  <si>
    <t>実績荷姿名</t>
  </si>
  <si>
    <t>実績荷姿数量</t>
  </si>
  <si>
    <t>実績荷姿個数</t>
  </si>
  <si>
    <t>実績数量</t>
  </si>
  <si>
    <t>SAP簿外</t>
  </si>
  <si>
    <t>SAP転記日</t>
  </si>
  <si>
    <t>SAP連携済フラグ</t>
  </si>
  <si>
    <t>SAP作業番号</t>
  </si>
  <si>
    <t>ファイルパス</t>
  </si>
  <si>
    <t>受入ロット</t>
  </si>
  <si>
    <t>ロケーションID</t>
  </si>
  <si>
    <t>入荷済フラグ</t>
  </si>
  <si>
    <t>入荷予定No</t>
  </si>
  <si>
    <t>半製品製造済フラグ</t>
  </si>
  <si>
    <t>半製品製造予定指図番号</t>
  </si>
  <si>
    <t>個体識別</t>
  </si>
  <si>
    <t>引当個体識別</t>
  </si>
  <si>
    <t>引当数量</t>
  </si>
  <si>
    <t>引当数量（荷姿単位）</t>
  </si>
  <si>
    <t>引当ステータス</t>
  </si>
  <si>
    <t>引当処理区分</t>
  </si>
  <si>
    <t>自動引当対象フラグ</t>
  </si>
  <si>
    <t>移庫指図No</t>
  </si>
  <si>
    <t>移庫まとめ有無</t>
  </si>
  <si>
    <t>移庫備考</t>
  </si>
  <si>
    <t>生産課</t>
  </si>
  <si>
    <t>在庫ステータス</t>
  </si>
  <si>
    <t>個数</t>
  </si>
  <si>
    <t>ホルダコード</t>
  </si>
  <si>
    <t>試験項目コード</t>
  </si>
  <si>
    <t>単位コード</t>
  </si>
  <si>
    <t>ホルダ名</t>
  </si>
  <si>
    <t>試験項目名</t>
  </si>
  <si>
    <t>単位名</t>
  </si>
  <si>
    <t>試験結果</t>
  </si>
  <si>
    <t>試験結果（編集後）</t>
  </si>
  <si>
    <t>試験結果（報告用）</t>
  </si>
  <si>
    <t>規格１上限</t>
  </si>
  <si>
    <t>規格１下限</t>
  </si>
  <si>
    <t>ロット</t>
  </si>
  <si>
    <t>検査区分</t>
  </si>
  <si>
    <t>依頼日時</t>
  </si>
  <si>
    <t>検査回数</t>
  </si>
  <si>
    <t>合否</t>
  </si>
  <si>
    <t>S1</t>
  </si>
  <si>
    <t>S2</t>
  </si>
  <si>
    <t>S3</t>
  </si>
  <si>
    <t>S1</t>
    <phoneticPr fontId="2"/>
  </si>
  <si>
    <t>S1</t>
    <phoneticPr fontId="2"/>
  </si>
  <si>
    <t>ST1</t>
    <phoneticPr fontId="2"/>
  </si>
  <si>
    <t>ST2</t>
  </si>
  <si>
    <t>ST2</t>
    <phoneticPr fontId="2"/>
  </si>
  <si>
    <t>P1</t>
    <phoneticPr fontId="2"/>
  </si>
  <si>
    <t>P2</t>
    <phoneticPr fontId="2"/>
  </si>
  <si>
    <t>Lab-Aid依頼番号-S1-ST1-P1</t>
  </si>
  <si>
    <t>Lab-Aid依頼番号-S1-ST1-P2</t>
  </si>
  <si>
    <t>Lab-Aid依頼番号-S1-ST2-P1</t>
  </si>
  <si>
    <t>Lab-Aid依頼番号-S1-ST2-P2</t>
  </si>
  <si>
    <t>Lab-Aid依頼番号-S2-ST1-P1</t>
  </si>
  <si>
    <t>Lab-Aid依頼番号-S2-ST1-P2</t>
  </si>
  <si>
    <t>Lab-Aid依頼番号-S2-ST2-P1</t>
  </si>
  <si>
    <t>Lab-Aid依頼番号-S2-ST2-P2</t>
  </si>
  <si>
    <t>Lab-Aid依頼番号-S3-ST1-P1</t>
  </si>
  <si>
    <t>Lab-Aid依頼番号-S3-ST1-P2</t>
  </si>
  <si>
    <t>Lab-Aid依頼番号-S3-ST2-P1</t>
  </si>
  <si>
    <t>Lab-Aid依頼番号-S3-ST2-P2</t>
  </si>
  <si>
    <t>H1</t>
    <phoneticPr fontId="2"/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</si>
  <si>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</si>
  <si>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</si>
  <si>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</si>
  <si>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</si>
  <si>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</si>
  <si>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</si>
  <si>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</si>
  <si>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</si>
  <si>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</si>
  <si>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</si>
  <si>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</si>
  <si>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引当No</t>
  </si>
  <si>
    <t>20211207235959</t>
    <phoneticPr fontId="2"/>
  </si>
  <si>
    <t>20211209235959</t>
    <phoneticPr fontId="2"/>
  </si>
  <si>
    <t>20211208000000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</si>
</sst>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3" fillId="3" borderId="0" xfId="0" applyFont="1" applyFill="1">
      <alignment vertical="center"/>
    </xf>
    <xf numFmtId="49" fontId="0" fillId="5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"/>
  <sheetViews>
    <sheetView zoomScale="80" zoomScaleNormal="80" workbookViewId="0"/>
  </sheetViews>
  <sheetFormatPr defaultRowHeight="13.5" x14ac:dyDescent="0.15"/>
  <cols>
    <col min="1" max="1" width="13.625" bestFit="1" customWidth="1"/>
    <col min="2" max="16" width="3.625" customWidth="1"/>
  </cols>
  <sheetData>
    <row r="1" spans="1:16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</row>
    <row r="2" spans="1:16" x14ac:dyDescent="0.15">
      <c r="A2" t="s">
        <v>196</v>
      </c>
      <c r="B2" t="str">
        <f>B$1&amp;"-"&amp;$A2</f>
        <v>製造指図ステータス-S1</v>
      </c>
      <c r="C2" t="str">
        <f t="shared" ref="C2:P2" si="0">C$1&amp;"-"&amp;$A2</f>
        <v>品目コード-S1</v>
      </c>
      <c r="D2" t="str">
        <f t="shared" si="0"/>
        <v>品名-S1</v>
      </c>
      <c r="E2" t="str">
        <f t="shared" si="0"/>
        <v>SAP製造指図番号-S1</v>
      </c>
      <c r="F2" t="str">
        <f t="shared" si="0"/>
        <v>ASTキー-S1</v>
      </c>
      <c r="G2" t="str">
        <f t="shared" si="0"/>
        <v>指図作成区分-S1</v>
      </c>
      <c r="H2" t="str">
        <f t="shared" si="0"/>
        <v>ASTPLANNER計画取込状態-S1</v>
      </c>
      <c r="I2" t="str">
        <f t="shared" si="0"/>
        <v>ASTPLANNER計画取込状態変更者-S1</v>
      </c>
      <c r="J2" t="str">
        <f t="shared" si="0"/>
        <v>ASTPLANNER計画取込状態変更日時-S1</v>
      </c>
      <c r="K2" t="str">
        <f t="shared" si="0"/>
        <v>Exapilot連携状況-S1</v>
      </c>
      <c r="L2" t="str">
        <f t="shared" si="0"/>
        <v>製造指図確認者-S1</v>
      </c>
      <c r="M2" t="str">
        <f t="shared" si="0"/>
        <v>製造指図確認日-S1</v>
      </c>
      <c r="N2" t="str">
        <f t="shared" si="0"/>
        <v>充填包装確認者-S1</v>
      </c>
      <c r="O2" t="str">
        <f t="shared" si="0"/>
        <v>充填包装確認日-S1</v>
      </c>
      <c r="P2" t="str">
        <f t="shared" si="0"/>
        <v>締め実行フラグ-S1</v>
      </c>
    </row>
    <row r="3" spans="1:16" x14ac:dyDescent="0.15">
      <c r="A3" t="s">
        <v>194</v>
      </c>
      <c r="B3" t="str">
        <f t="shared" ref="B3:P4" si="1">B$1&amp;"-"&amp;$A3</f>
        <v>製造指図ステータス-S2</v>
      </c>
      <c r="C3" t="str">
        <f t="shared" si="1"/>
        <v>品目コード-S2</v>
      </c>
      <c r="D3" t="str">
        <f t="shared" si="1"/>
        <v>品名-S2</v>
      </c>
      <c r="E3" t="str">
        <f t="shared" si="1"/>
        <v>SAP製造指図番号-S2</v>
      </c>
      <c r="F3" t="str">
        <f t="shared" si="1"/>
        <v>ASTキー-S2</v>
      </c>
      <c r="G3" t="str">
        <f t="shared" si="1"/>
        <v>指図作成区分-S2</v>
      </c>
      <c r="H3" t="str">
        <f t="shared" si="1"/>
        <v>ASTPLANNER計画取込状態-S2</v>
      </c>
      <c r="I3" t="str">
        <f t="shared" si="1"/>
        <v>ASTPLANNER計画取込状態変更者-S2</v>
      </c>
      <c r="J3" t="str">
        <f t="shared" si="1"/>
        <v>ASTPLANNER計画取込状態変更日時-S2</v>
      </c>
      <c r="K3" t="str">
        <f t="shared" si="1"/>
        <v>Exapilot連携状況-S2</v>
      </c>
      <c r="L3" t="str">
        <f t="shared" si="1"/>
        <v>製造指図確認者-S2</v>
      </c>
      <c r="M3" t="str">
        <f t="shared" si="1"/>
        <v>製造指図確認日-S2</v>
      </c>
      <c r="N3" t="str">
        <f t="shared" si="1"/>
        <v>充填包装確認者-S2</v>
      </c>
      <c r="O3" t="str">
        <f t="shared" si="1"/>
        <v>充填包装確認日-S2</v>
      </c>
      <c r="P3" t="str">
        <f t="shared" si="1"/>
        <v>締め実行フラグ-S2</v>
      </c>
    </row>
    <row r="4" spans="1:16" x14ac:dyDescent="0.15">
      <c r="A4" t="s">
        <v>195</v>
      </c>
      <c r="B4" t="str">
        <f t="shared" si="1"/>
        <v>製造指図ステータス-S3</v>
      </c>
      <c r="C4" t="str">
        <f t="shared" si="1"/>
        <v>品目コード-S3</v>
      </c>
      <c r="D4" t="str">
        <f t="shared" si="1"/>
        <v>品名-S3</v>
      </c>
      <c r="E4" t="str">
        <f t="shared" si="1"/>
        <v>SAP製造指図番号-S3</v>
      </c>
      <c r="F4" t="str">
        <f t="shared" si="1"/>
        <v>ASTキー-S3</v>
      </c>
      <c r="G4" t="str">
        <f t="shared" si="1"/>
        <v>指図作成区分-S3</v>
      </c>
      <c r="H4" t="str">
        <f t="shared" si="1"/>
        <v>ASTPLANNER計画取込状態-S3</v>
      </c>
      <c r="I4" t="str">
        <f t="shared" si="1"/>
        <v>ASTPLANNER計画取込状態変更者-S3</v>
      </c>
      <c r="J4" t="str">
        <f t="shared" si="1"/>
        <v>ASTPLANNER計画取込状態変更日時-S3</v>
      </c>
      <c r="K4" t="str">
        <f t="shared" si="1"/>
        <v>Exapilot連携状況-S3</v>
      </c>
      <c r="L4" t="str">
        <f t="shared" si="1"/>
        <v>製造指図確認者-S3</v>
      </c>
      <c r="M4" t="str">
        <f t="shared" si="1"/>
        <v>製造指図確認日-S3</v>
      </c>
      <c r="N4" t="str">
        <f t="shared" si="1"/>
        <v>充填包装確認者-S3</v>
      </c>
      <c r="O4" t="str">
        <f t="shared" si="1"/>
        <v>充填包装確認日-S3</v>
      </c>
      <c r="P4" t="str">
        <f t="shared" si="1"/>
        <v>締め実行フラグ-S3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4"/>
  <sheetViews>
    <sheetView zoomScale="80" zoomScaleNormal="80" workbookViewId="0"/>
  </sheetViews>
  <sheetFormatPr defaultRowHeight="13.5" x14ac:dyDescent="0.15"/>
  <cols>
    <col min="1" max="1" width="13.625" bestFit="1" customWidth="1"/>
    <col min="2" max="2" width="5.625" bestFit="1" customWidth="1"/>
    <col min="3" max="3" width="12.5" bestFit="1" customWidth="1"/>
    <col min="4" max="4" width="20" bestFit="1" customWidth="1"/>
    <col min="5" max="28" width="3.625" customWidth="1"/>
  </cols>
  <sheetData>
    <row r="1" spans="1:28" x14ac:dyDescent="0.15">
      <c r="A1" s="3" t="s">
        <v>0</v>
      </c>
      <c r="B1" s="3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  <c r="K1" s="1" t="s">
        <v>25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30</v>
      </c>
      <c r="Q1" s="1" t="s">
        <v>31</v>
      </c>
      <c r="R1" s="1" t="s">
        <v>32</v>
      </c>
      <c r="S1" s="1" t="s">
        <v>33</v>
      </c>
      <c r="T1" s="1" t="s">
        <v>34</v>
      </c>
      <c r="U1" s="1" t="s">
        <v>35</v>
      </c>
      <c r="V1" s="1" t="s">
        <v>36</v>
      </c>
      <c r="W1" s="1" t="s">
        <v>37</v>
      </c>
      <c r="X1" s="1" t="s">
        <v>38</v>
      </c>
      <c r="Y1" s="1" t="s">
        <v>39</v>
      </c>
      <c r="Z1" s="1" t="s">
        <v>40</v>
      </c>
      <c r="AA1" s="1" t="s">
        <v>41</v>
      </c>
      <c r="AB1" s="1" t="s">
        <v>42</v>
      </c>
    </row>
    <row r="2" spans="1:28" x14ac:dyDescent="0.15">
      <c r="A2" t="s">
        <v>193</v>
      </c>
      <c r="B2">
        <v>1</v>
      </c>
      <c r="C2" t="str">
        <f>C$1&amp;"-"&amp;$A2</f>
        <v>処方ID-S1</v>
      </c>
      <c r="D2" t="str">
        <f t="shared" ref="D2:AB4" si="0">D$1&amp;"-"&amp;$A2</f>
        <v>処方バージョン-S1</v>
      </c>
      <c r="E2" t="str">
        <f t="shared" si="0"/>
        <v>処方製品連番-S1</v>
      </c>
      <c r="F2" t="str">
        <f t="shared" si="0"/>
        <v>表示順-S1</v>
      </c>
      <c r="G2" t="str">
        <f t="shared" si="0"/>
        <v>製品種別-S1</v>
      </c>
      <c r="H2" t="str">
        <f t="shared" si="0"/>
        <v>荷姿コード-S1</v>
      </c>
      <c r="I2" t="str">
        <f t="shared" si="0"/>
        <v>荷姿名-S1</v>
      </c>
      <c r="J2" t="str">
        <f t="shared" si="0"/>
        <v>入り目-S1</v>
      </c>
      <c r="K2" t="str">
        <f t="shared" si="0"/>
        <v>小数点以下有効桁数-S1</v>
      </c>
      <c r="L2" t="str">
        <f t="shared" si="0"/>
        <v>端数処理コード-S1</v>
      </c>
      <c r="M2" t="str">
        <f t="shared" si="0"/>
        <v>製品グループ-S1</v>
      </c>
      <c r="N2" t="str">
        <f t="shared" si="0"/>
        <v>製品コード-S1</v>
      </c>
      <c r="O2" t="str">
        <f t="shared" si="0"/>
        <v>製品グレード-S1</v>
      </c>
      <c r="P2" t="str">
        <f t="shared" si="0"/>
        <v>製品名-S1</v>
      </c>
      <c r="Q2" t="str">
        <f t="shared" si="0"/>
        <v>製造予定量-S1</v>
      </c>
      <c r="R2" t="str">
        <f t="shared" si="0"/>
        <v>備考-S1</v>
      </c>
      <c r="S2" t="str">
        <f t="shared" si="0"/>
        <v>向け先コード-S1</v>
      </c>
      <c r="T2" t="str">
        <f t="shared" si="0"/>
        <v>向け先名称-S1</v>
      </c>
      <c r="U2" t="str">
        <f t="shared" si="0"/>
        <v>出荷ロット-S1</v>
      </c>
      <c r="V2" t="str">
        <f t="shared" si="0"/>
        <v>SAPロット-S1</v>
      </c>
      <c r="W2" t="str">
        <f t="shared" si="0"/>
        <v>在庫ユニークキー-S1</v>
      </c>
      <c r="X2" t="str">
        <f t="shared" si="0"/>
        <v>製造予定量確定値-S1</v>
      </c>
      <c r="Y2" t="str">
        <f t="shared" si="0"/>
        <v>製造実績量収集値-S1</v>
      </c>
      <c r="Z2" t="str">
        <f t="shared" si="0"/>
        <v>製造実績量確定値-S1</v>
      </c>
      <c r="AA2" t="str">
        <f t="shared" si="0"/>
        <v>SAP製造日-S1</v>
      </c>
      <c r="AB2" t="str">
        <f t="shared" si="0"/>
        <v>SAP保証日-S1</v>
      </c>
    </row>
    <row r="3" spans="1:28" x14ac:dyDescent="0.15">
      <c r="A3" t="s">
        <v>194</v>
      </c>
      <c r="B3">
        <v>1</v>
      </c>
      <c r="C3" t="str">
        <f t="shared" ref="C3:R4" si="1">C$1&amp;"-"&amp;$A3</f>
        <v>処方ID-S2</v>
      </c>
      <c r="D3" t="str">
        <f t="shared" si="1"/>
        <v>処方バージョン-S2</v>
      </c>
      <c r="E3" t="str">
        <f t="shared" si="1"/>
        <v>処方製品連番-S2</v>
      </c>
      <c r="F3" t="str">
        <f t="shared" si="1"/>
        <v>表示順-S2</v>
      </c>
      <c r="G3" t="str">
        <f t="shared" si="1"/>
        <v>製品種別-S2</v>
      </c>
      <c r="H3" t="str">
        <f t="shared" si="1"/>
        <v>荷姿コード-S2</v>
      </c>
      <c r="I3" t="str">
        <f t="shared" si="1"/>
        <v>荷姿名-S2</v>
      </c>
      <c r="J3" t="str">
        <f t="shared" si="1"/>
        <v>入り目-S2</v>
      </c>
      <c r="K3" t="str">
        <f t="shared" si="1"/>
        <v>小数点以下有効桁数-S2</v>
      </c>
      <c r="L3" t="str">
        <f t="shared" si="1"/>
        <v>端数処理コード-S2</v>
      </c>
      <c r="M3" t="str">
        <f t="shared" si="1"/>
        <v>製品グループ-S2</v>
      </c>
      <c r="N3" t="str">
        <f t="shared" si="1"/>
        <v>製品コード-S2</v>
      </c>
      <c r="O3" t="str">
        <f t="shared" si="1"/>
        <v>製品グレード-S2</v>
      </c>
      <c r="P3" t="str">
        <f t="shared" si="1"/>
        <v>製品名-S2</v>
      </c>
      <c r="Q3" t="str">
        <f t="shared" si="1"/>
        <v>製造予定量-S2</v>
      </c>
      <c r="R3" t="str">
        <f t="shared" si="1"/>
        <v>備考-S2</v>
      </c>
      <c r="S3" t="str">
        <f t="shared" si="0"/>
        <v>向け先コード-S2</v>
      </c>
      <c r="T3" t="str">
        <f t="shared" si="0"/>
        <v>向け先名称-S2</v>
      </c>
      <c r="U3" t="str">
        <f t="shared" si="0"/>
        <v>出荷ロット-S2</v>
      </c>
      <c r="V3" t="str">
        <f t="shared" si="0"/>
        <v>SAPロット-S2</v>
      </c>
      <c r="W3" t="str">
        <f t="shared" si="0"/>
        <v>在庫ユニークキー-S2</v>
      </c>
      <c r="X3" t="str">
        <f t="shared" si="0"/>
        <v>製造予定量確定値-S2</v>
      </c>
      <c r="Y3" t="str">
        <f t="shared" si="0"/>
        <v>製造実績量収集値-S2</v>
      </c>
      <c r="Z3" t="str">
        <f t="shared" si="0"/>
        <v>製造実績量確定値-S2</v>
      </c>
      <c r="AA3" t="str">
        <f t="shared" si="0"/>
        <v>SAP製造日-S2</v>
      </c>
      <c r="AB3" t="str">
        <f t="shared" si="0"/>
        <v>SAP保証日-S2</v>
      </c>
    </row>
    <row r="4" spans="1:28" x14ac:dyDescent="0.15">
      <c r="A4" t="s">
        <v>195</v>
      </c>
      <c r="B4">
        <v>1</v>
      </c>
      <c r="C4" t="str">
        <f t="shared" si="1"/>
        <v>処方ID-S3</v>
      </c>
      <c r="D4" t="str">
        <f t="shared" si="0"/>
        <v>処方バージョン-S3</v>
      </c>
      <c r="E4" t="str">
        <f t="shared" si="0"/>
        <v>処方製品連番-S3</v>
      </c>
      <c r="F4" t="str">
        <f t="shared" si="0"/>
        <v>表示順-S3</v>
      </c>
      <c r="G4" t="str">
        <f t="shared" si="0"/>
        <v>製品種別-S3</v>
      </c>
      <c r="H4" t="str">
        <f t="shared" si="0"/>
        <v>荷姿コード-S3</v>
      </c>
      <c r="I4" t="str">
        <f t="shared" si="0"/>
        <v>荷姿名-S3</v>
      </c>
      <c r="J4" t="str">
        <f t="shared" si="0"/>
        <v>入り目-S3</v>
      </c>
      <c r="K4" t="str">
        <f t="shared" si="0"/>
        <v>小数点以下有効桁数-S3</v>
      </c>
      <c r="L4" t="str">
        <f t="shared" si="0"/>
        <v>端数処理コード-S3</v>
      </c>
      <c r="M4" t="str">
        <f t="shared" si="0"/>
        <v>製品グループ-S3</v>
      </c>
      <c r="N4" t="str">
        <f t="shared" si="0"/>
        <v>製品コード-S3</v>
      </c>
      <c r="O4" t="str">
        <f t="shared" si="0"/>
        <v>製品グレード-S3</v>
      </c>
      <c r="P4" t="str">
        <f t="shared" si="0"/>
        <v>製品名-S3</v>
      </c>
      <c r="Q4" t="str">
        <f t="shared" si="0"/>
        <v>製造予定量-S3</v>
      </c>
      <c r="R4" t="str">
        <f t="shared" si="0"/>
        <v>備考-S3</v>
      </c>
      <c r="S4" t="str">
        <f t="shared" si="0"/>
        <v>向け先コード-S3</v>
      </c>
      <c r="T4" t="str">
        <f t="shared" si="0"/>
        <v>向け先名称-S3</v>
      </c>
      <c r="U4" t="str">
        <f t="shared" si="0"/>
        <v>出荷ロット-S3</v>
      </c>
      <c r="V4" t="str">
        <f t="shared" si="0"/>
        <v>SAPロット-S3</v>
      </c>
      <c r="W4" t="str">
        <f t="shared" si="0"/>
        <v>在庫ユニークキー-S3</v>
      </c>
      <c r="X4" t="str">
        <f t="shared" si="0"/>
        <v>製造予定量確定値-S3</v>
      </c>
      <c r="Y4" t="str">
        <f t="shared" si="0"/>
        <v>製造実績量収集値-S3</v>
      </c>
      <c r="Z4" t="str">
        <f t="shared" si="0"/>
        <v>製造実績量確定値-S3</v>
      </c>
      <c r="AA4" t="str">
        <f t="shared" si="0"/>
        <v>SAP製造日-S3</v>
      </c>
      <c r="AB4" t="str">
        <f t="shared" si="0"/>
        <v>SAP保証日-S3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4"/>
  <sheetViews>
    <sheetView tabSelected="1" zoomScale="80" zoomScaleNormal="80" workbookViewId="0">
      <selection activeCell="AE4" sqref="AE4"/>
    </sheetView>
  </sheetViews>
  <sheetFormatPr defaultRowHeight="13.5" x14ac:dyDescent="0.15"/>
  <cols>
    <col min="1" max="1" width="13.625" bestFit="1" customWidth="1"/>
    <col min="2" max="2" width="10.25" bestFit="1" customWidth="1"/>
    <col min="3" max="3" width="18" bestFit="1" customWidth="1"/>
    <col min="4" max="30" width="3.625" customWidth="1"/>
    <col min="31" max="31" width="22.5" customWidth="1"/>
    <col min="32" max="42" width="3.625" customWidth="1"/>
  </cols>
  <sheetData>
    <row r="1" spans="1:42" x14ac:dyDescent="0.15">
      <c r="A1" s="3" t="s">
        <v>0</v>
      </c>
      <c r="B1" s="1" t="s">
        <v>17</v>
      </c>
      <c r="C1" s="1" t="s">
        <v>18</v>
      </c>
      <c r="D1" s="1" t="s">
        <v>43</v>
      </c>
      <c r="E1" s="1" t="s">
        <v>44</v>
      </c>
      <c r="F1" s="1" t="s">
        <v>45</v>
      </c>
      <c r="G1" s="1" t="s">
        <v>46</v>
      </c>
      <c r="H1" s="1" t="s">
        <v>47</v>
      </c>
      <c r="I1" s="1" t="s">
        <v>28</v>
      </c>
      <c r="J1" s="1" t="s">
        <v>30</v>
      </c>
      <c r="K1" s="1" t="s">
        <v>29</v>
      </c>
      <c r="L1" s="1" t="s">
        <v>48</v>
      </c>
      <c r="M1" s="1" t="s">
        <v>49</v>
      </c>
      <c r="N1" s="1" t="s">
        <v>50</v>
      </c>
      <c r="O1" s="1" t="s">
        <v>51</v>
      </c>
      <c r="P1" s="1" t="s">
        <v>52</v>
      </c>
      <c r="Q1" s="1" t="s">
        <v>53</v>
      </c>
      <c r="R1" s="1" t="s">
        <v>54</v>
      </c>
      <c r="S1" s="1" t="s">
        <v>55</v>
      </c>
      <c r="T1" s="1" t="s">
        <v>56</v>
      </c>
      <c r="U1" s="1" t="s">
        <v>57</v>
      </c>
      <c r="V1" s="1" t="s">
        <v>58</v>
      </c>
      <c r="W1" s="1" t="s">
        <v>59</v>
      </c>
      <c r="X1" s="1" t="s">
        <v>60</v>
      </c>
      <c r="Y1" s="1" t="s">
        <v>32</v>
      </c>
      <c r="Z1" s="1" t="s">
        <v>61</v>
      </c>
      <c r="AA1" s="1" t="s">
        <v>62</v>
      </c>
      <c r="AB1" s="1" t="s">
        <v>63</v>
      </c>
      <c r="AC1" s="1" t="s">
        <v>64</v>
      </c>
      <c r="AD1" s="1" t="s">
        <v>65</v>
      </c>
      <c r="AE1" s="1" t="s">
        <v>66</v>
      </c>
      <c r="AF1" s="1" t="s">
        <v>67</v>
      </c>
      <c r="AG1" s="1" t="s">
        <v>68</v>
      </c>
      <c r="AH1" s="1" t="s">
        <v>69</v>
      </c>
      <c r="AI1" s="1" t="s">
        <v>70</v>
      </c>
      <c r="AJ1" s="1" t="s">
        <v>71</v>
      </c>
      <c r="AK1" s="1" t="s">
        <v>72</v>
      </c>
      <c r="AL1" s="1" t="s">
        <v>73</v>
      </c>
      <c r="AM1" s="1" t="s">
        <v>74</v>
      </c>
      <c r="AN1" s="1" t="s">
        <v>75</v>
      </c>
      <c r="AO1" s="1" t="s">
        <v>76</v>
      </c>
      <c r="AP1" s="1" t="s">
        <v>77</v>
      </c>
    </row>
    <row r="2" spans="1:42" x14ac:dyDescent="0.15">
      <c r="A2" t="s">
        <v>197</v>
      </c>
      <c r="B2" t="str">
        <f>B$1&amp;"-"&amp;$A2</f>
        <v>処方ID-S1</v>
      </c>
      <c r="C2" t="str">
        <f t="shared" ref="C2:AP4" si="0">C$1&amp;"-"&amp;$A2</f>
        <v>処方バージョン-S1</v>
      </c>
      <c r="D2" t="str">
        <f t="shared" si="0"/>
        <v>有効期限（自）-S1</v>
      </c>
      <c r="E2" t="str">
        <f t="shared" si="0"/>
        <v>有効期限（至）-S1</v>
      </c>
      <c r="F2" t="str">
        <f t="shared" si="0"/>
        <v>系列コード-S1</v>
      </c>
      <c r="G2" t="str">
        <f t="shared" si="0"/>
        <v>組織コード-S1</v>
      </c>
      <c r="H2" t="str">
        <f t="shared" si="0"/>
        <v>組織名-S1</v>
      </c>
      <c r="I2" t="str">
        <f t="shared" si="0"/>
        <v>製品コード-S1</v>
      </c>
      <c r="J2" t="str">
        <f t="shared" si="0"/>
        <v>製品名-S1</v>
      </c>
      <c r="K2" t="str">
        <f t="shared" si="0"/>
        <v>製品グレード-S1</v>
      </c>
      <c r="L2" t="str">
        <f t="shared" si="0"/>
        <v>処方スケール-S1</v>
      </c>
      <c r="M2" t="str">
        <f t="shared" si="0"/>
        <v>単位-S1</v>
      </c>
      <c r="N2" t="str">
        <f t="shared" si="0"/>
        <v>最大値-S1</v>
      </c>
      <c r="O2" t="str">
        <f t="shared" si="0"/>
        <v>最小値-S1</v>
      </c>
      <c r="P2" t="str">
        <f t="shared" si="0"/>
        <v>理論収量設定値-S1</v>
      </c>
      <c r="Q2" t="str">
        <f t="shared" si="0"/>
        <v>処方作成日時-S1</v>
      </c>
      <c r="R2" t="str">
        <f t="shared" si="0"/>
        <v>処方承認日時-S1</v>
      </c>
      <c r="S2" t="str">
        <f t="shared" si="0"/>
        <v>処方作成者-S1</v>
      </c>
      <c r="T2" t="str">
        <f t="shared" si="0"/>
        <v>処方承認者-S1</v>
      </c>
      <c r="U2" t="str">
        <f t="shared" si="0"/>
        <v>元処方ID-S1</v>
      </c>
      <c r="V2" t="str">
        <f t="shared" si="0"/>
        <v>元処方バージョン-S1</v>
      </c>
      <c r="W2" t="str">
        <f t="shared" si="0"/>
        <v>有効期間ID-S1</v>
      </c>
      <c r="X2" t="str">
        <f t="shared" si="0"/>
        <v>SAP製造バージョン-S1</v>
      </c>
      <c r="Y2" t="str">
        <f t="shared" si="0"/>
        <v>備考-S1</v>
      </c>
      <c r="Z2" t="str">
        <f t="shared" si="0"/>
        <v>バッチ実行回数-S1</v>
      </c>
      <c r="AA2" t="str">
        <f t="shared" si="0"/>
        <v>製造予定数量-S1</v>
      </c>
      <c r="AB2" t="str">
        <f t="shared" si="0"/>
        <v>製造実績数量-S1</v>
      </c>
      <c r="AC2" t="str">
        <f t="shared" si="0"/>
        <v>開始予定日時-S1</v>
      </c>
      <c r="AD2" t="str">
        <f t="shared" si="0"/>
        <v>終了予定日時-S1</v>
      </c>
      <c r="AE2" s="6" t="s">
        <v>228</v>
      </c>
      <c r="AF2" t="str">
        <f t="shared" si="0"/>
        <v>終了実績日時-S1</v>
      </c>
      <c r="AG2" t="str">
        <f t="shared" si="0"/>
        <v>製造ロット-S1</v>
      </c>
      <c r="AH2" t="str">
        <f t="shared" si="0"/>
        <v>着手実績日時-S1</v>
      </c>
      <c r="AI2" t="str">
        <f t="shared" si="0"/>
        <v>中止実績日時-S1</v>
      </c>
      <c r="AJ2" t="str">
        <f t="shared" si="0"/>
        <v>Exapilot終了実績日時-S1</v>
      </c>
      <c r="AK2" t="str">
        <f t="shared" si="0"/>
        <v>Exapilot中止実績日時-S1</v>
      </c>
      <c r="AL2" t="str">
        <f t="shared" si="0"/>
        <v>収量用ブレンド量-S1</v>
      </c>
      <c r="AM2" t="str">
        <f t="shared" si="0"/>
        <v>収量-S1</v>
      </c>
      <c r="AN2" t="str">
        <f t="shared" si="0"/>
        <v>理論収量-S1</v>
      </c>
      <c r="AO2" t="str">
        <f t="shared" si="0"/>
        <v>収率-S1</v>
      </c>
      <c r="AP2" t="str">
        <f t="shared" si="0"/>
        <v>製造指図メモ-S1</v>
      </c>
    </row>
    <row r="3" spans="1:42" x14ac:dyDescent="0.15">
      <c r="A3" t="s">
        <v>194</v>
      </c>
      <c r="B3" t="str">
        <f t="shared" ref="B3:Q4" si="1">B$1&amp;"-"&amp;$A3</f>
        <v>処方ID-S2</v>
      </c>
      <c r="C3" t="str">
        <f t="shared" si="1"/>
        <v>処方バージョン-S2</v>
      </c>
      <c r="D3" t="str">
        <f t="shared" si="1"/>
        <v>有効期限（自）-S2</v>
      </c>
      <c r="E3" t="str">
        <f t="shared" si="1"/>
        <v>有効期限（至）-S2</v>
      </c>
      <c r="F3" t="str">
        <f t="shared" si="1"/>
        <v>系列コード-S2</v>
      </c>
      <c r="G3" t="str">
        <f t="shared" si="1"/>
        <v>組織コード-S2</v>
      </c>
      <c r="H3" t="str">
        <f t="shared" si="1"/>
        <v>組織名-S2</v>
      </c>
      <c r="I3" t="str">
        <f t="shared" si="1"/>
        <v>製品コード-S2</v>
      </c>
      <c r="J3" t="str">
        <f t="shared" si="1"/>
        <v>製品名-S2</v>
      </c>
      <c r="K3" t="str">
        <f t="shared" si="1"/>
        <v>製品グレード-S2</v>
      </c>
      <c r="L3" t="str">
        <f t="shared" si="1"/>
        <v>処方スケール-S2</v>
      </c>
      <c r="M3" t="str">
        <f t="shared" si="1"/>
        <v>単位-S2</v>
      </c>
      <c r="N3" t="str">
        <f t="shared" si="1"/>
        <v>最大値-S2</v>
      </c>
      <c r="O3" t="str">
        <f t="shared" si="1"/>
        <v>最小値-S2</v>
      </c>
      <c r="P3" t="str">
        <f t="shared" si="1"/>
        <v>理論収量設定値-S2</v>
      </c>
      <c r="Q3" t="str">
        <f t="shared" si="1"/>
        <v>処方作成日時-S2</v>
      </c>
      <c r="R3" t="str">
        <f t="shared" si="0"/>
        <v>処方承認日時-S2</v>
      </c>
      <c r="S3" t="str">
        <f t="shared" si="0"/>
        <v>処方作成者-S2</v>
      </c>
      <c r="T3" t="str">
        <f t="shared" si="0"/>
        <v>処方承認者-S2</v>
      </c>
      <c r="U3" t="str">
        <f t="shared" si="0"/>
        <v>元処方ID-S2</v>
      </c>
      <c r="V3" t="str">
        <f t="shared" si="0"/>
        <v>元処方バージョン-S2</v>
      </c>
      <c r="W3" t="str">
        <f t="shared" si="0"/>
        <v>有効期間ID-S2</v>
      </c>
      <c r="X3" t="str">
        <f t="shared" si="0"/>
        <v>SAP製造バージョン-S2</v>
      </c>
      <c r="Y3" t="str">
        <f t="shared" si="0"/>
        <v>備考-S2</v>
      </c>
      <c r="Z3" t="str">
        <f t="shared" si="0"/>
        <v>バッチ実行回数-S2</v>
      </c>
      <c r="AA3" t="str">
        <f t="shared" si="0"/>
        <v>製造予定数量-S2</v>
      </c>
      <c r="AB3" t="str">
        <f t="shared" si="0"/>
        <v>製造実績数量-S2</v>
      </c>
      <c r="AC3" t="str">
        <f t="shared" si="0"/>
        <v>開始予定日時-S2</v>
      </c>
      <c r="AD3" t="str">
        <f t="shared" si="0"/>
        <v>終了予定日時-S2</v>
      </c>
      <c r="AE3" s="6" t="s">
        <v>230</v>
      </c>
      <c r="AF3" t="str">
        <f t="shared" si="0"/>
        <v>終了実績日時-S2</v>
      </c>
      <c r="AG3" t="str">
        <f t="shared" si="0"/>
        <v>製造ロット-S2</v>
      </c>
      <c r="AH3" t="str">
        <f t="shared" si="0"/>
        <v>着手実績日時-S2</v>
      </c>
      <c r="AI3" t="str">
        <f t="shared" si="0"/>
        <v>中止実績日時-S2</v>
      </c>
      <c r="AJ3" t="str">
        <f t="shared" si="0"/>
        <v>Exapilot終了実績日時-S2</v>
      </c>
      <c r="AK3" t="str">
        <f t="shared" si="0"/>
        <v>Exapilot中止実績日時-S2</v>
      </c>
      <c r="AL3" t="str">
        <f t="shared" si="0"/>
        <v>収量用ブレンド量-S2</v>
      </c>
      <c r="AM3" t="str">
        <f t="shared" si="0"/>
        <v>収量-S2</v>
      </c>
      <c r="AN3" t="str">
        <f t="shared" si="0"/>
        <v>理論収量-S2</v>
      </c>
      <c r="AO3" t="str">
        <f t="shared" si="0"/>
        <v>収率-S2</v>
      </c>
      <c r="AP3" t="str">
        <f t="shared" si="0"/>
        <v>製造指図メモ-S2</v>
      </c>
    </row>
    <row r="4" spans="1:42" x14ac:dyDescent="0.15">
      <c r="A4" t="s">
        <v>195</v>
      </c>
      <c r="B4" t="str">
        <f t="shared" si="1"/>
        <v>処方ID-S3</v>
      </c>
      <c r="C4" t="str">
        <f t="shared" si="0"/>
        <v>処方バージョン-S3</v>
      </c>
      <c r="D4" t="str">
        <f t="shared" si="0"/>
        <v>有効期限（自）-S3</v>
      </c>
      <c r="E4" t="str">
        <f t="shared" si="0"/>
        <v>有効期限（至）-S3</v>
      </c>
      <c r="F4" t="str">
        <f t="shared" si="0"/>
        <v>系列コード-S3</v>
      </c>
      <c r="G4" t="str">
        <f t="shared" si="0"/>
        <v>組織コード-S3</v>
      </c>
      <c r="H4" t="str">
        <f t="shared" si="0"/>
        <v>組織名-S3</v>
      </c>
      <c r="I4" t="str">
        <f t="shared" si="0"/>
        <v>製品コード-S3</v>
      </c>
      <c r="J4" t="str">
        <f t="shared" si="0"/>
        <v>製品名-S3</v>
      </c>
      <c r="K4" t="str">
        <f t="shared" si="0"/>
        <v>製品グレード-S3</v>
      </c>
      <c r="L4" t="str">
        <f t="shared" si="0"/>
        <v>処方スケール-S3</v>
      </c>
      <c r="M4" t="str">
        <f t="shared" si="0"/>
        <v>単位-S3</v>
      </c>
      <c r="N4" t="str">
        <f t="shared" si="0"/>
        <v>最大値-S3</v>
      </c>
      <c r="O4" t="str">
        <f t="shared" si="0"/>
        <v>最小値-S3</v>
      </c>
      <c r="P4" t="str">
        <f t="shared" si="0"/>
        <v>理論収量設定値-S3</v>
      </c>
      <c r="Q4" t="str">
        <f t="shared" si="0"/>
        <v>処方作成日時-S3</v>
      </c>
      <c r="R4" t="str">
        <f t="shared" si="0"/>
        <v>処方承認日時-S3</v>
      </c>
      <c r="S4" t="str">
        <f t="shared" si="0"/>
        <v>処方作成者-S3</v>
      </c>
      <c r="T4" t="str">
        <f t="shared" si="0"/>
        <v>処方承認者-S3</v>
      </c>
      <c r="U4" t="str">
        <f t="shared" si="0"/>
        <v>元処方ID-S3</v>
      </c>
      <c r="V4" t="str">
        <f t="shared" si="0"/>
        <v>元処方バージョン-S3</v>
      </c>
      <c r="W4" t="str">
        <f t="shared" si="0"/>
        <v>有効期間ID-S3</v>
      </c>
      <c r="X4" t="str">
        <f t="shared" si="0"/>
        <v>SAP製造バージョン-S3</v>
      </c>
      <c r="Y4" t="str">
        <f t="shared" si="0"/>
        <v>備考-S3</v>
      </c>
      <c r="Z4" t="str">
        <f t="shared" si="0"/>
        <v>バッチ実行回数-S3</v>
      </c>
      <c r="AA4" t="str">
        <f t="shared" si="0"/>
        <v>製造予定数量-S3</v>
      </c>
      <c r="AB4" t="str">
        <f t="shared" si="0"/>
        <v>製造実績数量-S3</v>
      </c>
      <c r="AC4" t="str">
        <f t="shared" si="0"/>
        <v>開始予定日時-S3</v>
      </c>
      <c r="AD4" t="str">
        <f t="shared" si="0"/>
        <v>終了予定日時-S3</v>
      </c>
      <c r="AE4" s="6" t="s">
        <v>229</v>
      </c>
      <c r="AF4" t="str">
        <f t="shared" si="0"/>
        <v>終了実績日時-S3</v>
      </c>
      <c r="AG4" t="str">
        <f t="shared" si="0"/>
        <v>製造ロット-S3</v>
      </c>
      <c r="AH4" t="str">
        <f t="shared" si="0"/>
        <v>着手実績日時-S3</v>
      </c>
      <c r="AI4" t="str">
        <f t="shared" si="0"/>
        <v>中止実績日時-S3</v>
      </c>
      <c r="AJ4" t="str">
        <f t="shared" si="0"/>
        <v>Exapilot終了実績日時-S3</v>
      </c>
      <c r="AK4" t="str">
        <f t="shared" si="0"/>
        <v>Exapilot中止実績日時-S3</v>
      </c>
      <c r="AL4" t="str">
        <f t="shared" si="0"/>
        <v>収量用ブレンド量-S3</v>
      </c>
      <c r="AM4" t="str">
        <f t="shared" si="0"/>
        <v>収量-S3</v>
      </c>
      <c r="AN4" t="str">
        <f t="shared" si="0"/>
        <v>理論収量-S3</v>
      </c>
      <c r="AO4" t="str">
        <f t="shared" si="0"/>
        <v>収率-S3</v>
      </c>
      <c r="AP4" t="str">
        <f t="shared" si="0"/>
        <v>製造指図メモ-S3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"/>
  <sheetViews>
    <sheetView zoomScale="80" zoomScaleNormal="80" workbookViewId="0"/>
  </sheetViews>
  <sheetFormatPr defaultRowHeight="13.5" x14ac:dyDescent="0.15"/>
  <cols>
    <col min="1" max="1" width="13.625" bestFit="1" customWidth="1"/>
    <col min="2" max="2" width="10.25" bestFit="1" customWidth="1"/>
    <col min="3" max="3" width="18" bestFit="1" customWidth="1"/>
    <col min="4" max="4" width="10.125" bestFit="1" customWidth="1"/>
    <col min="5" max="5" width="17.375" bestFit="1" customWidth="1"/>
    <col min="6" max="25" width="3.625" customWidth="1"/>
  </cols>
  <sheetData>
    <row r="1" spans="1:25" x14ac:dyDescent="0.15">
      <c r="A1" s="3" t="s">
        <v>0</v>
      </c>
      <c r="B1" s="1" t="s">
        <v>17</v>
      </c>
      <c r="C1" s="1" t="s">
        <v>18</v>
      </c>
      <c r="D1" s="3" t="s">
        <v>78</v>
      </c>
      <c r="E1" s="1" t="s">
        <v>79</v>
      </c>
      <c r="F1" s="1" t="s">
        <v>80</v>
      </c>
      <c r="G1" s="1" t="s">
        <v>81</v>
      </c>
      <c r="H1" s="1" t="s">
        <v>82</v>
      </c>
      <c r="I1" s="1" t="s">
        <v>83</v>
      </c>
      <c r="J1" s="1" t="s">
        <v>84</v>
      </c>
      <c r="K1" s="1" t="s">
        <v>85</v>
      </c>
      <c r="L1" s="1" t="s">
        <v>86</v>
      </c>
      <c r="M1" s="1" t="s">
        <v>32</v>
      </c>
      <c r="N1" s="1" t="s">
        <v>87</v>
      </c>
      <c r="O1" s="1" t="s">
        <v>64</v>
      </c>
      <c r="P1" s="1" t="s">
        <v>65</v>
      </c>
      <c r="Q1" s="1" t="s">
        <v>88</v>
      </c>
      <c r="R1" s="1" t="s">
        <v>89</v>
      </c>
      <c r="S1" s="1" t="s">
        <v>90</v>
      </c>
      <c r="T1" s="1" t="s">
        <v>91</v>
      </c>
      <c r="U1" s="1" t="s">
        <v>92</v>
      </c>
      <c r="V1" s="1" t="s">
        <v>93</v>
      </c>
      <c r="W1" s="1" t="s">
        <v>66</v>
      </c>
      <c r="X1" s="1" t="s">
        <v>67</v>
      </c>
      <c r="Y1" s="1" t="s">
        <v>94</v>
      </c>
    </row>
    <row r="2" spans="1:25" x14ac:dyDescent="0.15">
      <c r="A2" t="s">
        <v>193</v>
      </c>
      <c r="B2" t="str">
        <f>B$1&amp;"-"&amp;$A2</f>
        <v>処方ID-S1</v>
      </c>
      <c r="C2" t="str">
        <f t="shared" ref="C2:C7" si="0">C$1&amp;"-"&amp;$A2</f>
        <v>処方バージョン-S1</v>
      </c>
      <c r="D2" t="s">
        <v>198</v>
      </c>
      <c r="E2" t="str">
        <f t="shared" ref="E2:T7" si="1">E$1&amp;"-"&amp;$A2&amp;"-"&amp;$D2</f>
        <v>要素名称-S1-ST1</v>
      </c>
      <c r="F2" t="str">
        <f t="shared" si="1"/>
        <v>工程予定時間-S1-ST1</v>
      </c>
      <c r="G2" t="str">
        <f t="shared" si="1"/>
        <v>工程標準廃液量-S1-ST1</v>
      </c>
      <c r="H2" t="str">
        <f t="shared" si="1"/>
        <v>機器グループID-S1-ST1</v>
      </c>
      <c r="I2" t="str">
        <f t="shared" si="1"/>
        <v>前段取り時間-S1-ST1</v>
      </c>
      <c r="J2" t="str">
        <f t="shared" si="1"/>
        <v>製造時間-S1-ST1</v>
      </c>
      <c r="K2" t="str">
        <f t="shared" si="1"/>
        <v>後段取り時間-S1-ST1</v>
      </c>
      <c r="L2" t="str">
        <f t="shared" si="1"/>
        <v>標準廃液量-S1-ST1</v>
      </c>
      <c r="M2" t="str">
        <f t="shared" si="1"/>
        <v>備考-S1-ST1</v>
      </c>
      <c r="N2" t="str">
        <f t="shared" si="1"/>
        <v>後続ステップID-S1-ST1</v>
      </c>
      <c r="O2" t="str">
        <f t="shared" si="1"/>
        <v>開始予定日時-S1-ST1</v>
      </c>
      <c r="P2" t="str">
        <f t="shared" si="1"/>
        <v>終了予定日時-S1-ST1</v>
      </c>
      <c r="Q2" t="str">
        <f t="shared" si="1"/>
        <v>工程ステータス-S1-ST1</v>
      </c>
      <c r="R2" t="str">
        <f t="shared" si="1"/>
        <v>工程終了取消フラグ-S1-ST1</v>
      </c>
      <c r="S2" t="str">
        <f t="shared" si="1"/>
        <v>使用機器ID-S1-ST1</v>
      </c>
      <c r="T2" t="str">
        <f t="shared" si="1"/>
        <v>実績前段取り時間-S1-ST1</v>
      </c>
      <c r="U2" t="str">
        <f t="shared" ref="U2:Y7" si="2">U$1&amp;"-"&amp;$A2&amp;"-"&amp;$D2</f>
        <v>実績製造時間-S1-ST1</v>
      </c>
      <c r="V2" t="str">
        <f t="shared" si="2"/>
        <v>実績後段取り時間-S1-ST1</v>
      </c>
      <c r="W2" t="str">
        <f t="shared" si="2"/>
        <v>開始実績日時-S1-ST1</v>
      </c>
      <c r="X2" t="str">
        <f t="shared" si="2"/>
        <v>終了実績日時-S1-ST1</v>
      </c>
      <c r="Y2" t="str">
        <f t="shared" si="2"/>
        <v>工程指図メモ-S1-ST1</v>
      </c>
    </row>
    <row r="3" spans="1:25" x14ac:dyDescent="0.15">
      <c r="A3" t="s">
        <v>193</v>
      </c>
      <c r="B3" t="str">
        <f t="shared" ref="B3:B7" si="3">B$1&amp;"-"&amp;$A3</f>
        <v>処方ID-S1</v>
      </c>
      <c r="C3" t="str">
        <f t="shared" si="0"/>
        <v>処方バージョン-S1</v>
      </c>
      <c r="D3" t="s">
        <v>199</v>
      </c>
      <c r="E3" t="str">
        <f t="shared" si="1"/>
        <v>要素名称-S1-ST2</v>
      </c>
      <c r="F3" t="str">
        <f t="shared" si="1"/>
        <v>工程予定時間-S1-ST2</v>
      </c>
      <c r="G3" t="str">
        <f t="shared" si="1"/>
        <v>工程標準廃液量-S1-ST2</v>
      </c>
      <c r="H3" t="str">
        <f t="shared" si="1"/>
        <v>機器グループID-S1-ST2</v>
      </c>
      <c r="I3" t="str">
        <f t="shared" si="1"/>
        <v>前段取り時間-S1-ST2</v>
      </c>
      <c r="J3" t="str">
        <f t="shared" si="1"/>
        <v>製造時間-S1-ST2</v>
      </c>
      <c r="K3" t="str">
        <f t="shared" si="1"/>
        <v>後段取り時間-S1-ST2</v>
      </c>
      <c r="L3" t="str">
        <f t="shared" si="1"/>
        <v>標準廃液量-S1-ST2</v>
      </c>
      <c r="M3" t="str">
        <f t="shared" si="1"/>
        <v>備考-S1-ST2</v>
      </c>
      <c r="N3" t="str">
        <f t="shared" si="1"/>
        <v>後続ステップID-S1-ST2</v>
      </c>
      <c r="O3" t="str">
        <f t="shared" si="1"/>
        <v>開始予定日時-S1-ST2</v>
      </c>
      <c r="P3" t="str">
        <f t="shared" si="1"/>
        <v>終了予定日時-S1-ST2</v>
      </c>
      <c r="Q3" t="str">
        <f t="shared" si="1"/>
        <v>工程ステータス-S1-ST2</v>
      </c>
      <c r="R3" t="str">
        <f t="shared" si="1"/>
        <v>工程終了取消フラグ-S1-ST2</v>
      </c>
      <c r="S3" t="str">
        <f t="shared" si="1"/>
        <v>使用機器ID-S1-ST2</v>
      </c>
      <c r="T3" t="str">
        <f t="shared" si="1"/>
        <v>実績前段取り時間-S1-ST2</v>
      </c>
      <c r="U3" t="str">
        <f t="shared" si="2"/>
        <v>実績製造時間-S1-ST2</v>
      </c>
      <c r="V3" t="str">
        <f t="shared" si="2"/>
        <v>実績後段取り時間-S1-ST2</v>
      </c>
      <c r="W3" t="str">
        <f t="shared" si="2"/>
        <v>開始実績日時-S1-ST2</v>
      </c>
      <c r="X3" t="str">
        <f t="shared" si="2"/>
        <v>終了実績日時-S1-ST2</v>
      </c>
      <c r="Y3" t="str">
        <f t="shared" si="2"/>
        <v>工程指図メモ-S1-ST2</v>
      </c>
    </row>
    <row r="4" spans="1:25" x14ac:dyDescent="0.15">
      <c r="A4" t="s">
        <v>194</v>
      </c>
      <c r="B4" t="str">
        <f t="shared" si="3"/>
        <v>処方ID-S2</v>
      </c>
      <c r="C4" t="str">
        <f t="shared" si="0"/>
        <v>処方バージョン-S2</v>
      </c>
      <c r="D4" t="s">
        <v>198</v>
      </c>
      <c r="E4" t="str">
        <f t="shared" si="1"/>
        <v>要素名称-S2-ST1</v>
      </c>
      <c r="F4" t="str">
        <f t="shared" si="1"/>
        <v>工程予定時間-S2-ST1</v>
      </c>
      <c r="G4" t="str">
        <f t="shared" si="1"/>
        <v>工程標準廃液量-S2-ST1</v>
      </c>
      <c r="H4" t="str">
        <f t="shared" si="1"/>
        <v>機器グループID-S2-ST1</v>
      </c>
      <c r="I4" t="str">
        <f t="shared" si="1"/>
        <v>前段取り時間-S2-ST1</v>
      </c>
      <c r="J4" t="str">
        <f t="shared" si="1"/>
        <v>製造時間-S2-ST1</v>
      </c>
      <c r="K4" t="str">
        <f t="shared" si="1"/>
        <v>後段取り時間-S2-ST1</v>
      </c>
      <c r="L4" t="str">
        <f t="shared" si="1"/>
        <v>標準廃液量-S2-ST1</v>
      </c>
      <c r="M4" t="str">
        <f t="shared" si="1"/>
        <v>備考-S2-ST1</v>
      </c>
      <c r="N4" t="str">
        <f t="shared" si="1"/>
        <v>後続ステップID-S2-ST1</v>
      </c>
      <c r="O4" t="str">
        <f t="shared" si="1"/>
        <v>開始予定日時-S2-ST1</v>
      </c>
      <c r="P4" t="str">
        <f t="shared" si="1"/>
        <v>終了予定日時-S2-ST1</v>
      </c>
      <c r="Q4" t="str">
        <f t="shared" si="1"/>
        <v>工程ステータス-S2-ST1</v>
      </c>
      <c r="R4" t="str">
        <f t="shared" si="1"/>
        <v>工程終了取消フラグ-S2-ST1</v>
      </c>
      <c r="S4" t="str">
        <f t="shared" si="1"/>
        <v>使用機器ID-S2-ST1</v>
      </c>
      <c r="T4" t="str">
        <f t="shared" si="1"/>
        <v>実績前段取り時間-S2-ST1</v>
      </c>
      <c r="U4" t="str">
        <f t="shared" si="2"/>
        <v>実績製造時間-S2-ST1</v>
      </c>
      <c r="V4" t="str">
        <f t="shared" si="2"/>
        <v>実績後段取り時間-S2-ST1</v>
      </c>
      <c r="W4" t="str">
        <f t="shared" si="2"/>
        <v>開始実績日時-S2-ST1</v>
      </c>
      <c r="X4" t="str">
        <f t="shared" si="2"/>
        <v>終了実績日時-S2-ST1</v>
      </c>
      <c r="Y4" t="str">
        <f t="shared" si="2"/>
        <v>工程指図メモ-S2-ST1</v>
      </c>
    </row>
    <row r="5" spans="1:25" x14ac:dyDescent="0.15">
      <c r="A5" t="s">
        <v>194</v>
      </c>
      <c r="B5" t="str">
        <f t="shared" si="3"/>
        <v>処方ID-S2</v>
      </c>
      <c r="C5" t="str">
        <f t="shared" si="0"/>
        <v>処方バージョン-S2</v>
      </c>
      <c r="D5" t="s">
        <v>199</v>
      </c>
      <c r="E5" t="str">
        <f t="shared" si="1"/>
        <v>要素名称-S2-ST2</v>
      </c>
      <c r="F5" t="str">
        <f t="shared" si="1"/>
        <v>工程予定時間-S2-ST2</v>
      </c>
      <c r="G5" t="str">
        <f t="shared" si="1"/>
        <v>工程標準廃液量-S2-ST2</v>
      </c>
      <c r="H5" t="str">
        <f t="shared" si="1"/>
        <v>機器グループID-S2-ST2</v>
      </c>
      <c r="I5" t="str">
        <f t="shared" si="1"/>
        <v>前段取り時間-S2-ST2</v>
      </c>
      <c r="J5" t="str">
        <f t="shared" si="1"/>
        <v>製造時間-S2-ST2</v>
      </c>
      <c r="K5" t="str">
        <f t="shared" si="1"/>
        <v>後段取り時間-S2-ST2</v>
      </c>
      <c r="L5" t="str">
        <f t="shared" si="1"/>
        <v>標準廃液量-S2-ST2</v>
      </c>
      <c r="M5" t="str">
        <f t="shared" si="1"/>
        <v>備考-S2-ST2</v>
      </c>
      <c r="N5" t="str">
        <f t="shared" si="1"/>
        <v>後続ステップID-S2-ST2</v>
      </c>
      <c r="O5" t="str">
        <f t="shared" si="1"/>
        <v>開始予定日時-S2-ST2</v>
      </c>
      <c r="P5" t="str">
        <f t="shared" si="1"/>
        <v>終了予定日時-S2-ST2</v>
      </c>
      <c r="Q5" t="str">
        <f t="shared" si="1"/>
        <v>工程ステータス-S2-ST2</v>
      </c>
      <c r="R5" t="str">
        <f t="shared" si="1"/>
        <v>工程終了取消フラグ-S2-ST2</v>
      </c>
      <c r="S5" t="str">
        <f t="shared" si="1"/>
        <v>使用機器ID-S2-ST2</v>
      </c>
      <c r="T5" t="str">
        <f t="shared" si="1"/>
        <v>実績前段取り時間-S2-ST2</v>
      </c>
      <c r="U5" t="str">
        <f t="shared" si="2"/>
        <v>実績製造時間-S2-ST2</v>
      </c>
      <c r="V5" t="str">
        <f t="shared" si="2"/>
        <v>実績後段取り時間-S2-ST2</v>
      </c>
      <c r="W5" t="str">
        <f t="shared" si="2"/>
        <v>開始実績日時-S2-ST2</v>
      </c>
      <c r="X5" t="str">
        <f t="shared" si="2"/>
        <v>終了実績日時-S2-ST2</v>
      </c>
      <c r="Y5" t="str">
        <f t="shared" si="2"/>
        <v>工程指図メモ-S2-ST2</v>
      </c>
    </row>
    <row r="6" spans="1:25" x14ac:dyDescent="0.15">
      <c r="A6" t="s">
        <v>195</v>
      </c>
      <c r="B6" t="str">
        <f t="shared" si="3"/>
        <v>処方ID-S3</v>
      </c>
      <c r="C6" t="str">
        <f t="shared" si="0"/>
        <v>処方バージョン-S3</v>
      </c>
      <c r="D6" t="s">
        <v>198</v>
      </c>
      <c r="E6" t="str">
        <f t="shared" si="1"/>
        <v>要素名称-S3-ST1</v>
      </c>
      <c r="F6" t="str">
        <f t="shared" si="1"/>
        <v>工程予定時間-S3-ST1</v>
      </c>
      <c r="G6" t="str">
        <f t="shared" si="1"/>
        <v>工程標準廃液量-S3-ST1</v>
      </c>
      <c r="H6" t="str">
        <f t="shared" si="1"/>
        <v>機器グループID-S3-ST1</v>
      </c>
      <c r="I6" t="str">
        <f t="shared" si="1"/>
        <v>前段取り時間-S3-ST1</v>
      </c>
      <c r="J6" t="str">
        <f t="shared" si="1"/>
        <v>製造時間-S3-ST1</v>
      </c>
      <c r="K6" t="str">
        <f t="shared" si="1"/>
        <v>後段取り時間-S3-ST1</v>
      </c>
      <c r="L6" t="str">
        <f t="shared" si="1"/>
        <v>標準廃液量-S3-ST1</v>
      </c>
      <c r="M6" t="str">
        <f t="shared" si="1"/>
        <v>備考-S3-ST1</v>
      </c>
      <c r="N6" t="str">
        <f t="shared" si="1"/>
        <v>後続ステップID-S3-ST1</v>
      </c>
      <c r="O6" t="str">
        <f t="shared" si="1"/>
        <v>開始予定日時-S3-ST1</v>
      </c>
      <c r="P6" t="str">
        <f t="shared" si="1"/>
        <v>終了予定日時-S3-ST1</v>
      </c>
      <c r="Q6" t="str">
        <f t="shared" si="1"/>
        <v>工程ステータス-S3-ST1</v>
      </c>
      <c r="R6" t="str">
        <f t="shared" si="1"/>
        <v>工程終了取消フラグ-S3-ST1</v>
      </c>
      <c r="S6" t="str">
        <f t="shared" si="1"/>
        <v>使用機器ID-S3-ST1</v>
      </c>
      <c r="T6" t="str">
        <f t="shared" si="1"/>
        <v>実績前段取り時間-S3-ST1</v>
      </c>
      <c r="U6" t="str">
        <f t="shared" si="2"/>
        <v>実績製造時間-S3-ST1</v>
      </c>
      <c r="V6" t="str">
        <f t="shared" si="2"/>
        <v>実績後段取り時間-S3-ST1</v>
      </c>
      <c r="W6" t="str">
        <f t="shared" si="2"/>
        <v>開始実績日時-S3-ST1</v>
      </c>
      <c r="X6" t="str">
        <f t="shared" si="2"/>
        <v>終了実績日時-S3-ST1</v>
      </c>
      <c r="Y6" t="str">
        <f t="shared" si="2"/>
        <v>工程指図メモ-S3-ST1</v>
      </c>
    </row>
    <row r="7" spans="1:25" x14ac:dyDescent="0.15">
      <c r="A7" t="s">
        <v>195</v>
      </c>
      <c r="B7" t="str">
        <f t="shared" si="3"/>
        <v>処方ID-S3</v>
      </c>
      <c r="C7" t="str">
        <f t="shared" si="0"/>
        <v>処方バージョン-S3</v>
      </c>
      <c r="D7" t="s">
        <v>199</v>
      </c>
      <c r="E7" t="str">
        <f t="shared" si="1"/>
        <v>要素名称-S3-ST2</v>
      </c>
      <c r="F7" t="str">
        <f t="shared" si="1"/>
        <v>工程予定時間-S3-ST2</v>
      </c>
      <c r="G7" t="str">
        <f t="shared" si="1"/>
        <v>工程標準廃液量-S3-ST2</v>
      </c>
      <c r="H7" t="str">
        <f t="shared" si="1"/>
        <v>機器グループID-S3-ST2</v>
      </c>
      <c r="I7" t="str">
        <f t="shared" si="1"/>
        <v>前段取り時間-S3-ST2</v>
      </c>
      <c r="J7" t="str">
        <f t="shared" si="1"/>
        <v>製造時間-S3-ST2</v>
      </c>
      <c r="K7" t="str">
        <f t="shared" si="1"/>
        <v>後段取り時間-S3-ST2</v>
      </c>
      <c r="L7" t="str">
        <f t="shared" si="1"/>
        <v>標準廃液量-S3-ST2</v>
      </c>
      <c r="M7" t="str">
        <f t="shared" si="1"/>
        <v>備考-S3-ST2</v>
      </c>
      <c r="N7" t="str">
        <f t="shared" si="1"/>
        <v>後続ステップID-S3-ST2</v>
      </c>
      <c r="O7" t="str">
        <f t="shared" si="1"/>
        <v>開始予定日時-S3-ST2</v>
      </c>
      <c r="P7" t="str">
        <f t="shared" si="1"/>
        <v>終了予定日時-S3-ST2</v>
      </c>
      <c r="Q7" t="str">
        <f t="shared" si="1"/>
        <v>工程ステータス-S3-ST2</v>
      </c>
      <c r="R7" t="str">
        <f t="shared" si="1"/>
        <v>工程終了取消フラグ-S3-ST2</v>
      </c>
      <c r="S7" t="str">
        <f t="shared" si="1"/>
        <v>使用機器ID-S3-ST2</v>
      </c>
      <c r="T7" t="str">
        <f t="shared" si="1"/>
        <v>実績前段取り時間-S3-ST2</v>
      </c>
      <c r="U7" t="str">
        <f t="shared" si="2"/>
        <v>実績製造時間-S3-ST2</v>
      </c>
      <c r="V7" t="str">
        <f t="shared" si="2"/>
        <v>実績後段取り時間-S3-ST2</v>
      </c>
      <c r="W7" t="str">
        <f t="shared" si="2"/>
        <v>開始実績日時-S3-ST2</v>
      </c>
      <c r="X7" t="str">
        <f t="shared" si="2"/>
        <v>終了実績日時-S3-ST2</v>
      </c>
      <c r="Y7" t="str">
        <f t="shared" si="2"/>
        <v>工程指図メモ-S3-ST2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U13"/>
  <sheetViews>
    <sheetView zoomScale="80" zoomScaleNormal="80" workbookViewId="0"/>
  </sheetViews>
  <sheetFormatPr defaultRowHeight="13.5" x14ac:dyDescent="0.15"/>
  <cols>
    <col min="1" max="1" width="13.625" bestFit="1" customWidth="1"/>
    <col min="2" max="2" width="10.25" bestFit="1" customWidth="1"/>
    <col min="3" max="3" width="18" bestFit="1" customWidth="1"/>
    <col min="4" max="4" width="10.125" bestFit="1" customWidth="1"/>
    <col min="5" max="5" width="12" bestFit="1" customWidth="1"/>
    <col min="6" max="62" width="2.125" customWidth="1"/>
    <col min="63" max="63" width="28.125" bestFit="1" customWidth="1"/>
    <col min="64" max="73" width="3.625" customWidth="1"/>
  </cols>
  <sheetData>
    <row r="1" spans="1:73" x14ac:dyDescent="0.15">
      <c r="A1" s="3" t="s">
        <v>0</v>
      </c>
      <c r="B1" s="1" t="s">
        <v>17</v>
      </c>
      <c r="C1" s="1" t="s">
        <v>18</v>
      </c>
      <c r="D1" s="3" t="s">
        <v>78</v>
      </c>
      <c r="E1" s="3" t="s">
        <v>95</v>
      </c>
      <c r="F1" s="1" t="s">
        <v>96</v>
      </c>
      <c r="G1" s="1" t="s">
        <v>97</v>
      </c>
      <c r="H1" s="1" t="s">
        <v>98</v>
      </c>
      <c r="I1" s="1" t="s">
        <v>99</v>
      </c>
      <c r="J1" s="1" t="s">
        <v>20</v>
      </c>
      <c r="K1" s="1" t="s">
        <v>100</v>
      </c>
      <c r="L1" s="1" t="s">
        <v>25</v>
      </c>
      <c r="M1" s="1" t="s">
        <v>26</v>
      </c>
      <c r="N1" s="1" t="s">
        <v>101</v>
      </c>
      <c r="O1" s="1" t="s">
        <v>102</v>
      </c>
      <c r="P1" s="1" t="s">
        <v>103</v>
      </c>
      <c r="Q1" s="1" t="s">
        <v>104</v>
      </c>
      <c r="R1" s="1" t="s">
        <v>2</v>
      </c>
      <c r="S1" s="1" t="s">
        <v>3</v>
      </c>
      <c r="T1" s="1" t="s">
        <v>105</v>
      </c>
      <c r="U1" s="1" t="s">
        <v>106</v>
      </c>
      <c r="V1" s="1" t="s">
        <v>107</v>
      </c>
      <c r="W1" s="1" t="s">
        <v>108</v>
      </c>
      <c r="X1" s="1" t="s">
        <v>109</v>
      </c>
      <c r="Y1" s="1" t="s">
        <v>110</v>
      </c>
      <c r="Z1" s="1" t="s">
        <v>111</v>
      </c>
      <c r="AA1" s="1" t="s">
        <v>112</v>
      </c>
      <c r="AB1" s="1" t="s">
        <v>113</v>
      </c>
      <c r="AC1" s="1" t="s">
        <v>114</v>
      </c>
      <c r="AD1" s="1" t="s">
        <v>115</v>
      </c>
      <c r="AE1" s="1" t="s">
        <v>21</v>
      </c>
      <c r="AF1" s="1" t="s">
        <v>22</v>
      </c>
      <c r="AG1" s="1" t="s">
        <v>116</v>
      </c>
      <c r="AH1" s="1" t="s">
        <v>117</v>
      </c>
      <c r="AI1" s="1" t="s">
        <v>118</v>
      </c>
      <c r="AJ1" s="1" t="s">
        <v>119</v>
      </c>
      <c r="AK1" s="1" t="s">
        <v>120</v>
      </c>
      <c r="AL1" s="1" t="s">
        <v>121</v>
      </c>
      <c r="AM1" s="1" t="s">
        <v>122</v>
      </c>
      <c r="AN1" s="1" t="s">
        <v>123</v>
      </c>
      <c r="AO1" s="1" t="s">
        <v>124</v>
      </c>
      <c r="AP1" s="1" t="s">
        <v>125</v>
      </c>
      <c r="AQ1" s="1" t="s">
        <v>32</v>
      </c>
      <c r="AR1" s="1" t="s">
        <v>126</v>
      </c>
      <c r="AS1" s="1" t="s">
        <v>127</v>
      </c>
      <c r="AT1" s="1" t="s">
        <v>128</v>
      </c>
      <c r="AU1" s="1" t="s">
        <v>129</v>
      </c>
      <c r="AV1" s="1" t="s">
        <v>130</v>
      </c>
      <c r="AW1" s="1" t="s">
        <v>131</v>
      </c>
      <c r="AX1" s="1" t="s">
        <v>132</v>
      </c>
      <c r="AY1" s="1" t="s">
        <v>133</v>
      </c>
      <c r="AZ1" s="1" t="s">
        <v>134</v>
      </c>
      <c r="BA1" s="1" t="s">
        <v>135</v>
      </c>
      <c r="BB1" s="1" t="s">
        <v>136</v>
      </c>
      <c r="BC1" s="1" t="s">
        <v>137</v>
      </c>
      <c r="BD1" s="1" t="s">
        <v>138</v>
      </c>
      <c r="BE1" s="1" t="s">
        <v>139</v>
      </c>
      <c r="BF1" s="1" t="s">
        <v>140</v>
      </c>
      <c r="BG1" s="1" t="s">
        <v>141</v>
      </c>
      <c r="BH1" s="1" t="s">
        <v>142</v>
      </c>
      <c r="BI1" s="1" t="s">
        <v>143</v>
      </c>
      <c r="BJ1" s="1" t="s">
        <v>144</v>
      </c>
      <c r="BK1" s="4" t="s">
        <v>145</v>
      </c>
      <c r="BL1" s="1" t="s">
        <v>146</v>
      </c>
      <c r="BM1" s="1" t="s">
        <v>147</v>
      </c>
      <c r="BN1" s="1" t="s">
        <v>148</v>
      </c>
      <c r="BO1" s="1" t="s">
        <v>149</v>
      </c>
      <c r="BP1" s="1" t="s">
        <v>150</v>
      </c>
      <c r="BQ1" s="1" t="s">
        <v>151</v>
      </c>
      <c r="BR1" s="1" t="s">
        <v>152</v>
      </c>
      <c r="BS1" s="1" t="s">
        <v>153</v>
      </c>
      <c r="BT1" s="1" t="s">
        <v>154</v>
      </c>
      <c r="BU1" s="1" t="s">
        <v>155</v>
      </c>
    </row>
    <row r="2" spans="1:73" x14ac:dyDescent="0.15">
      <c r="A2" t="s">
        <v>193</v>
      </c>
      <c r="B2" t="str">
        <f>B$1&amp;"-"&amp;$A2</f>
        <v>処方ID-S1</v>
      </c>
      <c r="C2" t="str">
        <f>C$1&amp;"-"&amp;$A2</f>
        <v>処方バージョン-S1</v>
      </c>
      <c r="D2" t="s">
        <v>198</v>
      </c>
      <c r="E2" t="s">
        <v>201</v>
      </c>
      <c r="F2" t="str">
        <f t="shared" ref="F2:BQ5" si="0">F$1&amp;"-"&amp;$A2&amp;"-"&amp;$D2&amp;"-"&amp;$E2</f>
        <v>パラメータ名称-S1-ST1-P1</v>
      </c>
      <c r="G2" t="str">
        <f t="shared" si="0"/>
        <v>設定値-S1-ST1-P1</v>
      </c>
      <c r="H2" t="str">
        <f t="shared" si="0"/>
        <v>工業単位-S1-ST1-P1</v>
      </c>
      <c r="I2" t="str">
        <f t="shared" si="0"/>
        <v>指図確定時確認-S1-ST1-P1</v>
      </c>
      <c r="J2" t="str">
        <f t="shared" si="0"/>
        <v>表示順-S1-ST1-P1</v>
      </c>
      <c r="K2" t="str">
        <f t="shared" si="0"/>
        <v>実績収集-S1-ST1-P1</v>
      </c>
      <c r="L2" t="str">
        <f t="shared" si="0"/>
        <v>小数点以下有効桁数-S1-ST1-P1</v>
      </c>
      <c r="M2" t="str">
        <f t="shared" si="0"/>
        <v>端数処理コード-S1-ST1-P1</v>
      </c>
      <c r="N2" t="str">
        <f t="shared" si="0"/>
        <v>パラメータ属性-S1-ST1-P1</v>
      </c>
      <c r="O2" t="str">
        <f t="shared" si="0"/>
        <v>ExapilotDL対象-S1-ST1-P1</v>
      </c>
      <c r="P2" t="str">
        <f t="shared" si="0"/>
        <v>パラメータ種別-S1-ST1-P1</v>
      </c>
      <c r="Q2" t="str">
        <f t="shared" si="0"/>
        <v>SAP構成品明細番号-S1-ST1-P1</v>
      </c>
      <c r="R2" t="str">
        <f t="shared" si="0"/>
        <v>品目コード-S1-ST1-P1</v>
      </c>
      <c r="S2" t="str">
        <f t="shared" si="0"/>
        <v>品名-S1-ST1-P1</v>
      </c>
      <c r="T2" t="str">
        <f t="shared" si="0"/>
        <v>原材料グレード-S1-ST1-P1</v>
      </c>
      <c r="U2" t="str">
        <f t="shared" si="0"/>
        <v>計量パターン-S1-ST1-P1</v>
      </c>
      <c r="V2" t="str">
        <f t="shared" si="0"/>
        <v>計量上限-S1-ST1-P1</v>
      </c>
      <c r="W2" t="str">
        <f t="shared" si="0"/>
        <v>計量下限-S1-ST1-P1</v>
      </c>
      <c r="X2" t="str">
        <f t="shared" si="0"/>
        <v>仕込パターン-S1-ST1-P1</v>
      </c>
      <c r="Y2" t="str">
        <f t="shared" si="0"/>
        <v>端切単位-S1-ST1-P1</v>
      </c>
      <c r="Z2" t="str">
        <f t="shared" si="0"/>
        <v>原材料投入口-S1-ST1-P1</v>
      </c>
      <c r="AA2" t="str">
        <f t="shared" si="0"/>
        <v>廃液排出予定時間-S1-ST1-P1</v>
      </c>
      <c r="AB2" t="str">
        <f t="shared" si="0"/>
        <v>廃液排出タンク-S1-ST1-P1</v>
      </c>
      <c r="AC2" t="str">
        <f t="shared" si="0"/>
        <v>充填パターン-S1-ST1-P1</v>
      </c>
      <c r="AD2" t="str">
        <f t="shared" si="0"/>
        <v>充填包装設備-S1-ST1-P1</v>
      </c>
      <c r="AE2" t="str">
        <f t="shared" si="0"/>
        <v>製品種別-S1-ST1-P1</v>
      </c>
      <c r="AF2" t="str">
        <f t="shared" si="0"/>
        <v>荷姿コード-S1-ST1-P1</v>
      </c>
      <c r="AG2" t="str">
        <f t="shared" si="0"/>
        <v>荷姿名称-S1-ST1-P1</v>
      </c>
      <c r="AH2" t="str">
        <f t="shared" si="0"/>
        <v>荷姿数量-S1-ST1-P1</v>
      </c>
      <c r="AI2" t="str">
        <f t="shared" si="0"/>
        <v>荷姿個数-S1-ST1-P1</v>
      </c>
      <c r="AJ2" t="str">
        <f t="shared" si="0"/>
        <v>数量-S1-ST1-P1</v>
      </c>
      <c r="AK2" t="str">
        <f t="shared" si="0"/>
        <v>サンプル採取予定時刻-S1-ST1-P1</v>
      </c>
      <c r="AL2" t="str">
        <f t="shared" si="0"/>
        <v>サンプルコード-S1-ST1-P1</v>
      </c>
      <c r="AM2" t="str">
        <f t="shared" si="0"/>
        <v>プロトコルコード-S1-ST1-P1</v>
      </c>
      <c r="AN2" t="str">
        <f t="shared" si="0"/>
        <v>SAP消費生産-S1-ST1-P1</v>
      </c>
      <c r="AO2" t="str">
        <f t="shared" si="0"/>
        <v>在庫受払対象-S1-ST1-P1</v>
      </c>
      <c r="AP2" t="str">
        <f t="shared" si="0"/>
        <v>SAP連携対象-S1-ST1-P1</v>
      </c>
      <c r="AQ2" t="str">
        <f t="shared" si="0"/>
        <v>備考-S1-ST1-P1</v>
      </c>
      <c r="AR2" t="str">
        <f t="shared" si="0"/>
        <v>確定値-S1-ST1-P1</v>
      </c>
      <c r="AS2" t="str">
        <f t="shared" si="0"/>
        <v>実績収集値-S1-ST1-P1</v>
      </c>
      <c r="AT2" t="str">
        <f t="shared" si="0"/>
        <v>実績確定値-S1-ST1-P1</v>
      </c>
      <c r="AU2" t="str">
        <f t="shared" si="0"/>
        <v>設定値変更者-S1-ST1-P1</v>
      </c>
      <c r="AV2" t="str">
        <f t="shared" si="0"/>
        <v>設定値変更日時-S1-ST1-P1</v>
      </c>
      <c r="AW2" t="str">
        <f t="shared" si="0"/>
        <v>実績値変更者-S1-ST1-P1</v>
      </c>
      <c r="AX2" t="str">
        <f t="shared" si="0"/>
        <v>実績値変更日時-S1-ST1-P1</v>
      </c>
      <c r="AY2" t="str">
        <f t="shared" si="0"/>
        <v>設定値確認者-S1-ST1-P1</v>
      </c>
      <c r="AZ2" t="str">
        <f t="shared" si="0"/>
        <v>設定値確認日時-S1-ST1-P1</v>
      </c>
      <c r="BA2" t="str">
        <f t="shared" si="0"/>
        <v>実績値確認者-S1-ST1-P1</v>
      </c>
      <c r="BB2" t="str">
        <f t="shared" si="0"/>
        <v>実績値確認日時-S1-ST1-P1</v>
      </c>
      <c r="BC2" t="str">
        <f t="shared" si="0"/>
        <v>実績品目コード-S1-ST1-P1</v>
      </c>
      <c r="BD2" t="str">
        <f t="shared" si="0"/>
        <v>実績品名-S1-ST1-P1</v>
      </c>
      <c r="BE2" t="str">
        <f t="shared" si="0"/>
        <v>実績ロット-S1-ST1-P1</v>
      </c>
      <c r="BF2" t="str">
        <f t="shared" si="0"/>
        <v>実績廃液排出時間-S1-ST1-P1</v>
      </c>
      <c r="BG2" t="str">
        <f t="shared" si="0"/>
        <v>実績サンプル採取時間-S1-ST1-P1</v>
      </c>
      <c r="BH2" t="str">
        <f t="shared" si="0"/>
        <v>MES検査予定番号-S1-ST1-P1</v>
      </c>
      <c r="BI2" t="str">
        <f t="shared" si="0"/>
        <v>実績サンプルコード-S1-ST1-P1</v>
      </c>
      <c r="BJ2" t="str">
        <f t="shared" si="0"/>
        <v>実績プロトコルコード-S1-ST1-P1</v>
      </c>
      <c r="BK2" t="str">
        <f t="shared" si="0"/>
        <v>Lab-Aid依頼番号-S1-ST1-P1</v>
      </c>
      <c r="BL2" t="str">
        <f t="shared" si="0"/>
        <v>Lab-Aid合否判定-S1-ST1-P1</v>
      </c>
      <c r="BM2" t="str">
        <f t="shared" si="0"/>
        <v>計量支援指図番号-S1-ST1-P1</v>
      </c>
      <c r="BN2" t="str">
        <f t="shared" si="0"/>
        <v>実績荷姿コード-S1-ST1-P1</v>
      </c>
      <c r="BO2" t="str">
        <f t="shared" si="0"/>
        <v>実績荷姿名-S1-ST1-P1</v>
      </c>
      <c r="BP2" t="str">
        <f t="shared" si="0"/>
        <v>実績荷姿数量-S1-ST1-P1</v>
      </c>
      <c r="BQ2" t="str">
        <f t="shared" si="0"/>
        <v>実績荷姿個数-S1-ST1-P1</v>
      </c>
      <c r="BR2" t="str">
        <f t="shared" ref="BR2:BU4" si="1">BR$1&amp;"-"&amp;$A2&amp;"-"&amp;$D2&amp;"-"&amp;$E2</f>
        <v>実績数量-S1-ST1-P1</v>
      </c>
      <c r="BS2" t="str">
        <f t="shared" si="1"/>
        <v>SAP簿外-S1-ST1-P1</v>
      </c>
      <c r="BT2" t="str">
        <f t="shared" si="1"/>
        <v>SAP転記日-S1-ST1-P1</v>
      </c>
      <c r="BU2" t="str">
        <f t="shared" si="1"/>
        <v>SAP連携済フラグ-S1-ST1-P1</v>
      </c>
    </row>
    <row r="3" spans="1:73" x14ac:dyDescent="0.15">
      <c r="A3" t="s">
        <v>193</v>
      </c>
      <c r="B3" t="str">
        <f t="shared" ref="B3:C13" si="2">B$1&amp;"-"&amp;$A3</f>
        <v>処方ID-S1</v>
      </c>
      <c r="C3" t="str">
        <f t="shared" si="2"/>
        <v>処方バージョン-S1</v>
      </c>
      <c r="D3" t="s">
        <v>198</v>
      </c>
      <c r="E3" t="s">
        <v>202</v>
      </c>
      <c r="F3" t="str">
        <f t="shared" si="0"/>
        <v>パラメータ名称-S1-ST1-P2</v>
      </c>
      <c r="G3" t="str">
        <f t="shared" si="0"/>
        <v>設定値-S1-ST1-P2</v>
      </c>
      <c r="H3" t="str">
        <f t="shared" si="0"/>
        <v>工業単位-S1-ST1-P2</v>
      </c>
      <c r="I3" t="str">
        <f t="shared" si="0"/>
        <v>指図確定時確認-S1-ST1-P2</v>
      </c>
      <c r="J3" t="str">
        <f t="shared" si="0"/>
        <v>表示順-S1-ST1-P2</v>
      </c>
      <c r="K3" t="str">
        <f t="shared" si="0"/>
        <v>実績収集-S1-ST1-P2</v>
      </c>
      <c r="L3" t="str">
        <f t="shared" si="0"/>
        <v>小数点以下有効桁数-S1-ST1-P2</v>
      </c>
      <c r="M3" t="str">
        <f t="shared" si="0"/>
        <v>端数処理コード-S1-ST1-P2</v>
      </c>
      <c r="N3" t="str">
        <f t="shared" si="0"/>
        <v>パラメータ属性-S1-ST1-P2</v>
      </c>
      <c r="O3" t="str">
        <f t="shared" si="0"/>
        <v>ExapilotDL対象-S1-ST1-P2</v>
      </c>
      <c r="P3" t="str">
        <f t="shared" si="0"/>
        <v>パラメータ種別-S1-ST1-P2</v>
      </c>
      <c r="Q3" t="str">
        <f t="shared" si="0"/>
        <v>SAP構成品明細番号-S1-ST1-P2</v>
      </c>
      <c r="R3" t="str">
        <f t="shared" si="0"/>
        <v>品目コード-S1-ST1-P2</v>
      </c>
      <c r="S3" t="str">
        <f t="shared" si="0"/>
        <v>品名-S1-ST1-P2</v>
      </c>
      <c r="T3" t="str">
        <f t="shared" si="0"/>
        <v>原材料グレード-S1-ST1-P2</v>
      </c>
      <c r="U3" t="str">
        <f t="shared" si="0"/>
        <v>計量パターン-S1-ST1-P2</v>
      </c>
      <c r="V3" t="str">
        <f t="shared" si="0"/>
        <v>計量上限-S1-ST1-P2</v>
      </c>
      <c r="W3" t="str">
        <f t="shared" si="0"/>
        <v>計量下限-S1-ST1-P2</v>
      </c>
      <c r="X3" t="str">
        <f t="shared" si="0"/>
        <v>仕込パターン-S1-ST1-P2</v>
      </c>
      <c r="Y3" t="str">
        <f t="shared" si="0"/>
        <v>端切単位-S1-ST1-P2</v>
      </c>
      <c r="Z3" t="str">
        <f t="shared" si="0"/>
        <v>原材料投入口-S1-ST1-P2</v>
      </c>
      <c r="AA3" t="str">
        <f t="shared" si="0"/>
        <v>廃液排出予定時間-S1-ST1-P2</v>
      </c>
      <c r="AB3" t="str">
        <f t="shared" si="0"/>
        <v>廃液排出タンク-S1-ST1-P2</v>
      </c>
      <c r="AC3" t="str">
        <f t="shared" si="0"/>
        <v>充填パターン-S1-ST1-P2</v>
      </c>
      <c r="AD3" t="str">
        <f t="shared" si="0"/>
        <v>充填包装設備-S1-ST1-P2</v>
      </c>
      <c r="AE3" t="str">
        <f t="shared" si="0"/>
        <v>製品種別-S1-ST1-P2</v>
      </c>
      <c r="AF3" t="str">
        <f t="shared" si="0"/>
        <v>荷姿コード-S1-ST1-P2</v>
      </c>
      <c r="AG3" t="str">
        <f t="shared" si="0"/>
        <v>荷姿名称-S1-ST1-P2</v>
      </c>
      <c r="AH3" t="str">
        <f t="shared" si="0"/>
        <v>荷姿数量-S1-ST1-P2</v>
      </c>
      <c r="AI3" t="str">
        <f t="shared" si="0"/>
        <v>荷姿個数-S1-ST1-P2</v>
      </c>
      <c r="AJ3" t="str">
        <f t="shared" si="0"/>
        <v>数量-S1-ST1-P2</v>
      </c>
      <c r="AK3" t="str">
        <f t="shared" si="0"/>
        <v>サンプル採取予定時刻-S1-ST1-P2</v>
      </c>
      <c r="AL3" t="str">
        <f t="shared" si="0"/>
        <v>サンプルコード-S1-ST1-P2</v>
      </c>
      <c r="AM3" t="str">
        <f t="shared" si="0"/>
        <v>プロトコルコード-S1-ST1-P2</v>
      </c>
      <c r="AN3" t="str">
        <f t="shared" si="0"/>
        <v>SAP消費生産-S1-ST1-P2</v>
      </c>
      <c r="AO3" t="str">
        <f t="shared" si="0"/>
        <v>在庫受払対象-S1-ST1-P2</v>
      </c>
      <c r="AP3" t="str">
        <f t="shared" si="0"/>
        <v>SAP連携対象-S1-ST1-P2</v>
      </c>
      <c r="AQ3" t="str">
        <f t="shared" si="0"/>
        <v>備考-S1-ST1-P2</v>
      </c>
      <c r="AR3" t="str">
        <f t="shared" si="0"/>
        <v>確定値-S1-ST1-P2</v>
      </c>
      <c r="AS3" t="str">
        <f t="shared" si="0"/>
        <v>実績収集値-S1-ST1-P2</v>
      </c>
      <c r="AT3" t="str">
        <f t="shared" si="0"/>
        <v>実績確定値-S1-ST1-P2</v>
      </c>
      <c r="AU3" t="str">
        <f t="shared" si="0"/>
        <v>設定値変更者-S1-ST1-P2</v>
      </c>
      <c r="AV3" t="str">
        <f t="shared" si="0"/>
        <v>設定値変更日時-S1-ST1-P2</v>
      </c>
      <c r="AW3" t="str">
        <f t="shared" si="0"/>
        <v>実績値変更者-S1-ST1-P2</v>
      </c>
      <c r="AX3" t="str">
        <f t="shared" si="0"/>
        <v>実績値変更日時-S1-ST1-P2</v>
      </c>
      <c r="AY3" t="str">
        <f t="shared" si="0"/>
        <v>設定値確認者-S1-ST1-P2</v>
      </c>
      <c r="AZ3" t="str">
        <f t="shared" si="0"/>
        <v>設定値確認日時-S1-ST1-P2</v>
      </c>
      <c r="BA3" t="str">
        <f t="shared" si="0"/>
        <v>実績値確認者-S1-ST1-P2</v>
      </c>
      <c r="BB3" t="str">
        <f t="shared" si="0"/>
        <v>実績値確認日時-S1-ST1-P2</v>
      </c>
      <c r="BC3" t="str">
        <f t="shared" si="0"/>
        <v>実績品目コード-S1-ST1-P2</v>
      </c>
      <c r="BD3" t="str">
        <f t="shared" si="0"/>
        <v>実績品名-S1-ST1-P2</v>
      </c>
      <c r="BE3" t="str">
        <f t="shared" si="0"/>
        <v>実績ロット-S1-ST1-P2</v>
      </c>
      <c r="BF3" t="str">
        <f t="shared" si="0"/>
        <v>実績廃液排出時間-S1-ST1-P2</v>
      </c>
      <c r="BG3" t="str">
        <f t="shared" si="0"/>
        <v>実績サンプル採取時間-S1-ST1-P2</v>
      </c>
      <c r="BH3" t="str">
        <f t="shared" si="0"/>
        <v>MES検査予定番号-S1-ST1-P2</v>
      </c>
      <c r="BI3" t="str">
        <f t="shared" si="0"/>
        <v>実績サンプルコード-S1-ST1-P2</v>
      </c>
      <c r="BJ3" t="str">
        <f t="shared" si="0"/>
        <v>実績プロトコルコード-S1-ST1-P2</v>
      </c>
      <c r="BK3" t="str">
        <f t="shared" si="0"/>
        <v>Lab-Aid依頼番号-S1-ST1-P2</v>
      </c>
      <c r="BL3" t="str">
        <f t="shared" si="0"/>
        <v>Lab-Aid合否判定-S1-ST1-P2</v>
      </c>
      <c r="BM3" t="str">
        <f t="shared" si="0"/>
        <v>計量支援指図番号-S1-ST1-P2</v>
      </c>
      <c r="BN3" t="str">
        <f t="shared" si="0"/>
        <v>実績荷姿コード-S1-ST1-P2</v>
      </c>
      <c r="BO3" t="str">
        <f t="shared" si="0"/>
        <v>実績荷姿名-S1-ST1-P2</v>
      </c>
      <c r="BP3" t="str">
        <f t="shared" si="0"/>
        <v>実績荷姿数量-S1-ST1-P2</v>
      </c>
      <c r="BQ3" t="str">
        <f t="shared" si="0"/>
        <v>実績荷姿個数-S1-ST1-P2</v>
      </c>
      <c r="BR3" t="str">
        <f t="shared" si="1"/>
        <v>実績数量-S1-ST1-P2</v>
      </c>
      <c r="BS3" t="str">
        <f t="shared" si="1"/>
        <v>SAP簿外-S1-ST1-P2</v>
      </c>
      <c r="BT3" t="str">
        <f t="shared" si="1"/>
        <v>SAP転記日-S1-ST1-P2</v>
      </c>
      <c r="BU3" t="str">
        <f t="shared" si="1"/>
        <v>SAP連携済フラグ-S1-ST1-P2</v>
      </c>
    </row>
    <row r="4" spans="1:73" x14ac:dyDescent="0.15">
      <c r="A4" t="s">
        <v>193</v>
      </c>
      <c r="B4" t="str">
        <f t="shared" si="2"/>
        <v>処方ID-S1</v>
      </c>
      <c r="C4" t="str">
        <f t="shared" si="2"/>
        <v>処方バージョン-S1</v>
      </c>
      <c r="D4" t="s">
        <v>200</v>
      </c>
      <c r="E4" t="s">
        <v>201</v>
      </c>
      <c r="F4" t="str">
        <f t="shared" si="0"/>
        <v>パラメータ名称-S1-ST2-P1</v>
      </c>
      <c r="G4" t="str">
        <f t="shared" si="0"/>
        <v>設定値-S1-ST2-P1</v>
      </c>
      <c r="H4" t="str">
        <f t="shared" si="0"/>
        <v>工業単位-S1-ST2-P1</v>
      </c>
      <c r="I4" t="str">
        <f t="shared" si="0"/>
        <v>指図確定時確認-S1-ST2-P1</v>
      </c>
      <c r="J4" t="str">
        <f t="shared" si="0"/>
        <v>表示順-S1-ST2-P1</v>
      </c>
      <c r="K4" t="str">
        <f t="shared" si="0"/>
        <v>実績収集-S1-ST2-P1</v>
      </c>
      <c r="L4" t="str">
        <f t="shared" si="0"/>
        <v>小数点以下有効桁数-S1-ST2-P1</v>
      </c>
      <c r="M4" t="str">
        <f t="shared" si="0"/>
        <v>端数処理コード-S1-ST2-P1</v>
      </c>
      <c r="N4" t="str">
        <f t="shared" si="0"/>
        <v>パラメータ属性-S1-ST2-P1</v>
      </c>
      <c r="O4" t="str">
        <f t="shared" si="0"/>
        <v>ExapilotDL対象-S1-ST2-P1</v>
      </c>
      <c r="P4" t="str">
        <f t="shared" si="0"/>
        <v>パラメータ種別-S1-ST2-P1</v>
      </c>
      <c r="Q4" t="str">
        <f t="shared" si="0"/>
        <v>SAP構成品明細番号-S1-ST2-P1</v>
      </c>
      <c r="R4" t="str">
        <f t="shared" si="0"/>
        <v>品目コード-S1-ST2-P1</v>
      </c>
      <c r="S4" t="str">
        <f t="shared" si="0"/>
        <v>品名-S1-ST2-P1</v>
      </c>
      <c r="T4" t="str">
        <f t="shared" si="0"/>
        <v>原材料グレード-S1-ST2-P1</v>
      </c>
      <c r="U4" t="str">
        <f t="shared" si="0"/>
        <v>計量パターン-S1-ST2-P1</v>
      </c>
      <c r="V4" t="str">
        <f t="shared" si="0"/>
        <v>計量上限-S1-ST2-P1</v>
      </c>
      <c r="W4" t="str">
        <f t="shared" si="0"/>
        <v>計量下限-S1-ST2-P1</v>
      </c>
      <c r="X4" t="str">
        <f t="shared" si="0"/>
        <v>仕込パターン-S1-ST2-P1</v>
      </c>
      <c r="Y4" t="str">
        <f t="shared" si="0"/>
        <v>端切単位-S1-ST2-P1</v>
      </c>
      <c r="Z4" t="str">
        <f t="shared" si="0"/>
        <v>原材料投入口-S1-ST2-P1</v>
      </c>
      <c r="AA4" t="str">
        <f t="shared" si="0"/>
        <v>廃液排出予定時間-S1-ST2-P1</v>
      </c>
      <c r="AB4" t="str">
        <f t="shared" si="0"/>
        <v>廃液排出タンク-S1-ST2-P1</v>
      </c>
      <c r="AC4" t="str">
        <f t="shared" si="0"/>
        <v>充填パターン-S1-ST2-P1</v>
      </c>
      <c r="AD4" t="str">
        <f t="shared" si="0"/>
        <v>充填包装設備-S1-ST2-P1</v>
      </c>
      <c r="AE4" t="str">
        <f t="shared" si="0"/>
        <v>製品種別-S1-ST2-P1</v>
      </c>
      <c r="AF4" t="str">
        <f t="shared" si="0"/>
        <v>荷姿コード-S1-ST2-P1</v>
      </c>
      <c r="AG4" t="str">
        <f t="shared" si="0"/>
        <v>荷姿名称-S1-ST2-P1</v>
      </c>
      <c r="AH4" t="str">
        <f t="shared" si="0"/>
        <v>荷姿数量-S1-ST2-P1</v>
      </c>
      <c r="AI4" t="str">
        <f t="shared" si="0"/>
        <v>荷姿個数-S1-ST2-P1</v>
      </c>
      <c r="AJ4" t="str">
        <f t="shared" si="0"/>
        <v>数量-S1-ST2-P1</v>
      </c>
      <c r="AK4" t="str">
        <f t="shared" si="0"/>
        <v>サンプル採取予定時刻-S1-ST2-P1</v>
      </c>
      <c r="AL4" t="str">
        <f t="shared" si="0"/>
        <v>サンプルコード-S1-ST2-P1</v>
      </c>
      <c r="AM4" t="str">
        <f t="shared" si="0"/>
        <v>プロトコルコード-S1-ST2-P1</v>
      </c>
      <c r="AN4" t="str">
        <f t="shared" si="0"/>
        <v>SAP消費生産-S1-ST2-P1</v>
      </c>
      <c r="AO4" t="str">
        <f t="shared" si="0"/>
        <v>在庫受払対象-S1-ST2-P1</v>
      </c>
      <c r="AP4" t="str">
        <f t="shared" si="0"/>
        <v>SAP連携対象-S1-ST2-P1</v>
      </c>
      <c r="AQ4" t="str">
        <f t="shared" si="0"/>
        <v>備考-S1-ST2-P1</v>
      </c>
      <c r="AR4" t="str">
        <f t="shared" si="0"/>
        <v>確定値-S1-ST2-P1</v>
      </c>
      <c r="AS4" t="str">
        <f t="shared" si="0"/>
        <v>実績収集値-S1-ST2-P1</v>
      </c>
      <c r="AT4" t="str">
        <f t="shared" si="0"/>
        <v>実績確定値-S1-ST2-P1</v>
      </c>
      <c r="AU4" t="str">
        <f t="shared" si="0"/>
        <v>設定値変更者-S1-ST2-P1</v>
      </c>
      <c r="AV4" t="str">
        <f t="shared" si="0"/>
        <v>設定値変更日時-S1-ST2-P1</v>
      </c>
      <c r="AW4" t="str">
        <f t="shared" si="0"/>
        <v>実績値変更者-S1-ST2-P1</v>
      </c>
      <c r="AX4" t="str">
        <f t="shared" si="0"/>
        <v>実績値変更日時-S1-ST2-P1</v>
      </c>
      <c r="AY4" t="str">
        <f t="shared" si="0"/>
        <v>設定値確認者-S1-ST2-P1</v>
      </c>
      <c r="AZ4" t="str">
        <f t="shared" si="0"/>
        <v>設定値確認日時-S1-ST2-P1</v>
      </c>
      <c r="BA4" t="str">
        <f t="shared" si="0"/>
        <v>実績値確認者-S1-ST2-P1</v>
      </c>
      <c r="BB4" t="str">
        <f t="shared" si="0"/>
        <v>実績値確認日時-S1-ST2-P1</v>
      </c>
      <c r="BC4" t="str">
        <f t="shared" si="0"/>
        <v>実績品目コード-S1-ST2-P1</v>
      </c>
      <c r="BD4" t="str">
        <f t="shared" si="0"/>
        <v>実績品名-S1-ST2-P1</v>
      </c>
      <c r="BE4" t="str">
        <f t="shared" si="0"/>
        <v>実績ロット-S1-ST2-P1</v>
      </c>
      <c r="BF4" t="str">
        <f t="shared" si="0"/>
        <v>実績廃液排出時間-S1-ST2-P1</v>
      </c>
      <c r="BG4" t="str">
        <f t="shared" si="0"/>
        <v>実績サンプル採取時間-S1-ST2-P1</v>
      </c>
      <c r="BH4" t="str">
        <f t="shared" si="0"/>
        <v>MES検査予定番号-S1-ST2-P1</v>
      </c>
      <c r="BI4" t="str">
        <f t="shared" si="0"/>
        <v>実績サンプルコード-S1-ST2-P1</v>
      </c>
      <c r="BJ4" t="str">
        <f t="shared" si="0"/>
        <v>実績プロトコルコード-S1-ST2-P1</v>
      </c>
      <c r="BK4" t="str">
        <f t="shared" si="0"/>
        <v>Lab-Aid依頼番号-S1-ST2-P1</v>
      </c>
      <c r="BL4" t="str">
        <f t="shared" si="0"/>
        <v>Lab-Aid合否判定-S1-ST2-P1</v>
      </c>
      <c r="BM4" t="str">
        <f t="shared" si="0"/>
        <v>計量支援指図番号-S1-ST2-P1</v>
      </c>
      <c r="BN4" t="str">
        <f t="shared" si="0"/>
        <v>実績荷姿コード-S1-ST2-P1</v>
      </c>
      <c r="BO4" t="str">
        <f t="shared" si="0"/>
        <v>実績荷姿名-S1-ST2-P1</v>
      </c>
      <c r="BP4" t="str">
        <f t="shared" si="0"/>
        <v>実績荷姿数量-S1-ST2-P1</v>
      </c>
      <c r="BQ4" t="str">
        <f t="shared" si="0"/>
        <v>実績荷姿個数-S1-ST2-P1</v>
      </c>
      <c r="BR4" t="str">
        <f t="shared" si="1"/>
        <v>実績数量-S1-ST2-P1</v>
      </c>
      <c r="BS4" t="str">
        <f t="shared" si="1"/>
        <v>SAP簿外-S1-ST2-P1</v>
      </c>
      <c r="BT4" t="str">
        <f t="shared" si="1"/>
        <v>SAP転記日-S1-ST2-P1</v>
      </c>
      <c r="BU4" t="str">
        <f t="shared" si="1"/>
        <v>SAP連携済フラグ-S1-ST2-P1</v>
      </c>
    </row>
    <row r="5" spans="1:73" x14ac:dyDescent="0.15">
      <c r="A5" t="s">
        <v>193</v>
      </c>
      <c r="B5" t="str">
        <f t="shared" si="2"/>
        <v>処方ID-S1</v>
      </c>
      <c r="C5" t="str">
        <f t="shared" si="2"/>
        <v>処方バージョン-S1</v>
      </c>
      <c r="D5" t="s">
        <v>200</v>
      </c>
      <c r="E5" t="s">
        <v>202</v>
      </c>
      <c r="F5" t="str">
        <f t="shared" si="0"/>
        <v>パラメータ名称-S1-ST2-P2</v>
      </c>
      <c r="G5" t="str">
        <f t="shared" si="0"/>
        <v>設定値-S1-ST2-P2</v>
      </c>
      <c r="H5" t="str">
        <f t="shared" si="0"/>
        <v>工業単位-S1-ST2-P2</v>
      </c>
      <c r="I5" t="str">
        <f t="shared" si="0"/>
        <v>指図確定時確認-S1-ST2-P2</v>
      </c>
      <c r="J5" t="str">
        <f t="shared" si="0"/>
        <v>表示順-S1-ST2-P2</v>
      </c>
      <c r="K5" t="str">
        <f t="shared" si="0"/>
        <v>実績収集-S1-ST2-P2</v>
      </c>
      <c r="L5" t="str">
        <f t="shared" si="0"/>
        <v>小数点以下有効桁数-S1-ST2-P2</v>
      </c>
      <c r="M5" t="str">
        <f t="shared" si="0"/>
        <v>端数処理コード-S1-ST2-P2</v>
      </c>
      <c r="N5" t="str">
        <f t="shared" si="0"/>
        <v>パラメータ属性-S1-ST2-P2</v>
      </c>
      <c r="O5" t="str">
        <f t="shared" si="0"/>
        <v>ExapilotDL対象-S1-ST2-P2</v>
      </c>
      <c r="P5" t="str">
        <f t="shared" si="0"/>
        <v>パラメータ種別-S1-ST2-P2</v>
      </c>
      <c r="Q5" t="str">
        <f t="shared" si="0"/>
        <v>SAP構成品明細番号-S1-ST2-P2</v>
      </c>
      <c r="R5" t="str">
        <f t="shared" si="0"/>
        <v>品目コード-S1-ST2-P2</v>
      </c>
      <c r="S5" t="str">
        <f t="shared" si="0"/>
        <v>品名-S1-ST2-P2</v>
      </c>
      <c r="T5" t="str">
        <f t="shared" si="0"/>
        <v>原材料グレード-S1-ST2-P2</v>
      </c>
      <c r="U5" t="str">
        <f t="shared" si="0"/>
        <v>計量パターン-S1-ST2-P2</v>
      </c>
      <c r="V5" t="str">
        <f t="shared" si="0"/>
        <v>計量上限-S1-ST2-P2</v>
      </c>
      <c r="W5" t="str">
        <f t="shared" si="0"/>
        <v>計量下限-S1-ST2-P2</v>
      </c>
      <c r="X5" t="str">
        <f t="shared" si="0"/>
        <v>仕込パターン-S1-ST2-P2</v>
      </c>
      <c r="Y5" t="str">
        <f t="shared" si="0"/>
        <v>端切単位-S1-ST2-P2</v>
      </c>
      <c r="Z5" t="str">
        <f t="shared" si="0"/>
        <v>原材料投入口-S1-ST2-P2</v>
      </c>
      <c r="AA5" t="str">
        <f t="shared" si="0"/>
        <v>廃液排出予定時間-S1-ST2-P2</v>
      </c>
      <c r="AB5" t="str">
        <f t="shared" si="0"/>
        <v>廃液排出タンク-S1-ST2-P2</v>
      </c>
      <c r="AC5" t="str">
        <f t="shared" si="0"/>
        <v>充填パターン-S1-ST2-P2</v>
      </c>
      <c r="AD5" t="str">
        <f t="shared" si="0"/>
        <v>充填包装設備-S1-ST2-P2</v>
      </c>
      <c r="AE5" t="str">
        <f t="shared" si="0"/>
        <v>製品種別-S1-ST2-P2</v>
      </c>
      <c r="AF5" t="str">
        <f t="shared" si="0"/>
        <v>荷姿コード-S1-ST2-P2</v>
      </c>
      <c r="AG5" t="str">
        <f t="shared" si="0"/>
        <v>荷姿名称-S1-ST2-P2</v>
      </c>
      <c r="AH5" t="str">
        <f t="shared" si="0"/>
        <v>荷姿数量-S1-ST2-P2</v>
      </c>
      <c r="AI5" t="str">
        <f t="shared" si="0"/>
        <v>荷姿個数-S1-ST2-P2</v>
      </c>
      <c r="AJ5" t="str">
        <f t="shared" si="0"/>
        <v>数量-S1-ST2-P2</v>
      </c>
      <c r="AK5" t="str">
        <f t="shared" si="0"/>
        <v>サンプル採取予定時刻-S1-ST2-P2</v>
      </c>
      <c r="AL5" t="str">
        <f t="shared" si="0"/>
        <v>サンプルコード-S1-ST2-P2</v>
      </c>
      <c r="AM5" t="str">
        <f t="shared" si="0"/>
        <v>プロトコルコード-S1-ST2-P2</v>
      </c>
      <c r="AN5" t="str">
        <f t="shared" si="0"/>
        <v>SAP消費生産-S1-ST2-P2</v>
      </c>
      <c r="AO5" t="str">
        <f t="shared" si="0"/>
        <v>在庫受払対象-S1-ST2-P2</v>
      </c>
      <c r="AP5" t="str">
        <f t="shared" si="0"/>
        <v>SAP連携対象-S1-ST2-P2</v>
      </c>
      <c r="AQ5" t="str">
        <f t="shared" si="0"/>
        <v>備考-S1-ST2-P2</v>
      </c>
      <c r="AR5" t="str">
        <f t="shared" si="0"/>
        <v>確定値-S1-ST2-P2</v>
      </c>
      <c r="AS5" t="str">
        <f t="shared" si="0"/>
        <v>実績収集値-S1-ST2-P2</v>
      </c>
      <c r="AT5" t="str">
        <f t="shared" si="0"/>
        <v>実績確定値-S1-ST2-P2</v>
      </c>
      <c r="AU5" t="str">
        <f t="shared" si="0"/>
        <v>設定値変更者-S1-ST2-P2</v>
      </c>
      <c r="AV5" t="str">
        <f t="shared" si="0"/>
        <v>設定値変更日時-S1-ST2-P2</v>
      </c>
      <c r="AW5" t="str">
        <f t="shared" si="0"/>
        <v>実績値変更者-S1-ST2-P2</v>
      </c>
      <c r="AX5" t="str">
        <f t="shared" si="0"/>
        <v>実績値変更日時-S1-ST2-P2</v>
      </c>
      <c r="AY5" t="str">
        <f t="shared" si="0"/>
        <v>設定値確認者-S1-ST2-P2</v>
      </c>
      <c r="AZ5" t="str">
        <f t="shared" si="0"/>
        <v>設定値確認日時-S1-ST2-P2</v>
      </c>
      <c r="BA5" t="str">
        <f t="shared" si="0"/>
        <v>実績値確認者-S1-ST2-P2</v>
      </c>
      <c r="BB5" t="str">
        <f t="shared" si="0"/>
        <v>実績値確認日時-S1-ST2-P2</v>
      </c>
      <c r="BC5" t="str">
        <f t="shared" si="0"/>
        <v>実績品目コード-S1-ST2-P2</v>
      </c>
      <c r="BD5" t="str">
        <f t="shared" si="0"/>
        <v>実績品名-S1-ST2-P2</v>
      </c>
      <c r="BE5" t="str">
        <f t="shared" si="0"/>
        <v>実績ロット-S1-ST2-P2</v>
      </c>
      <c r="BF5" t="str">
        <f t="shared" si="0"/>
        <v>実績廃液排出時間-S1-ST2-P2</v>
      </c>
      <c r="BG5" t="str">
        <f t="shared" si="0"/>
        <v>実績サンプル採取時間-S1-ST2-P2</v>
      </c>
      <c r="BH5" t="str">
        <f t="shared" si="0"/>
        <v>MES検査予定番号-S1-ST2-P2</v>
      </c>
      <c r="BI5" t="str">
        <f t="shared" si="0"/>
        <v>実績サンプルコード-S1-ST2-P2</v>
      </c>
      <c r="BJ5" t="str">
        <f t="shared" si="0"/>
        <v>実績プロトコルコード-S1-ST2-P2</v>
      </c>
      <c r="BK5" t="str">
        <f t="shared" si="0"/>
        <v>Lab-Aid依頼番号-S1-ST2-P2</v>
      </c>
      <c r="BL5" t="str">
        <f t="shared" si="0"/>
        <v>Lab-Aid合否判定-S1-ST2-P2</v>
      </c>
      <c r="BM5" t="str">
        <f t="shared" si="0"/>
        <v>計量支援指図番号-S1-ST2-P2</v>
      </c>
      <c r="BN5" t="str">
        <f t="shared" si="0"/>
        <v>実績荷姿コード-S1-ST2-P2</v>
      </c>
      <c r="BO5" t="str">
        <f t="shared" si="0"/>
        <v>実績荷姿名-S1-ST2-P2</v>
      </c>
      <c r="BP5" t="str">
        <f t="shared" si="0"/>
        <v>実績荷姿数量-S1-ST2-P2</v>
      </c>
      <c r="BQ5" t="str">
        <f t="shared" ref="BQ5:BU8" si="3">BQ$1&amp;"-"&amp;$A5&amp;"-"&amp;$D5&amp;"-"&amp;$E5</f>
        <v>実績荷姿個数-S1-ST2-P2</v>
      </c>
      <c r="BR5" t="str">
        <f t="shared" si="3"/>
        <v>実績数量-S1-ST2-P2</v>
      </c>
      <c r="BS5" t="str">
        <f t="shared" si="3"/>
        <v>SAP簿外-S1-ST2-P2</v>
      </c>
      <c r="BT5" t="str">
        <f t="shared" si="3"/>
        <v>SAP転記日-S1-ST2-P2</v>
      </c>
      <c r="BU5" t="str">
        <f t="shared" si="3"/>
        <v>SAP連携済フラグ-S1-ST2-P2</v>
      </c>
    </row>
    <row r="6" spans="1:73" x14ac:dyDescent="0.15">
      <c r="A6" t="s">
        <v>194</v>
      </c>
      <c r="B6" t="str">
        <f t="shared" si="2"/>
        <v>処方ID-S2</v>
      </c>
      <c r="C6" t="str">
        <f t="shared" si="2"/>
        <v>処方バージョン-S2</v>
      </c>
      <c r="D6" t="s">
        <v>198</v>
      </c>
      <c r="E6" t="s">
        <v>201</v>
      </c>
      <c r="F6" t="str">
        <f t="shared" ref="F6:BQ9" si="4">F$1&amp;"-"&amp;$A6&amp;"-"&amp;$D6&amp;"-"&amp;$E6</f>
        <v>パラメータ名称-S2-ST1-P1</v>
      </c>
      <c r="G6" t="str">
        <f t="shared" si="4"/>
        <v>設定値-S2-ST1-P1</v>
      </c>
      <c r="H6" t="str">
        <f t="shared" si="4"/>
        <v>工業単位-S2-ST1-P1</v>
      </c>
      <c r="I6" t="str">
        <f t="shared" si="4"/>
        <v>指図確定時確認-S2-ST1-P1</v>
      </c>
      <c r="J6" t="str">
        <f t="shared" si="4"/>
        <v>表示順-S2-ST1-P1</v>
      </c>
      <c r="K6" t="str">
        <f t="shared" si="4"/>
        <v>実績収集-S2-ST1-P1</v>
      </c>
      <c r="L6" t="str">
        <f t="shared" si="4"/>
        <v>小数点以下有効桁数-S2-ST1-P1</v>
      </c>
      <c r="M6" t="str">
        <f t="shared" si="4"/>
        <v>端数処理コード-S2-ST1-P1</v>
      </c>
      <c r="N6" t="str">
        <f t="shared" si="4"/>
        <v>パラメータ属性-S2-ST1-P1</v>
      </c>
      <c r="O6" t="str">
        <f t="shared" si="4"/>
        <v>ExapilotDL対象-S2-ST1-P1</v>
      </c>
      <c r="P6" t="str">
        <f t="shared" si="4"/>
        <v>パラメータ種別-S2-ST1-P1</v>
      </c>
      <c r="Q6" t="str">
        <f t="shared" si="4"/>
        <v>SAP構成品明細番号-S2-ST1-P1</v>
      </c>
      <c r="R6" t="str">
        <f t="shared" si="4"/>
        <v>品目コード-S2-ST1-P1</v>
      </c>
      <c r="S6" t="str">
        <f t="shared" si="4"/>
        <v>品名-S2-ST1-P1</v>
      </c>
      <c r="T6" t="str">
        <f t="shared" si="4"/>
        <v>原材料グレード-S2-ST1-P1</v>
      </c>
      <c r="U6" t="str">
        <f t="shared" si="4"/>
        <v>計量パターン-S2-ST1-P1</v>
      </c>
      <c r="V6" t="str">
        <f t="shared" si="4"/>
        <v>計量上限-S2-ST1-P1</v>
      </c>
      <c r="W6" t="str">
        <f t="shared" si="4"/>
        <v>計量下限-S2-ST1-P1</v>
      </c>
      <c r="X6" t="str">
        <f t="shared" si="4"/>
        <v>仕込パターン-S2-ST1-P1</v>
      </c>
      <c r="Y6" t="str">
        <f t="shared" si="4"/>
        <v>端切単位-S2-ST1-P1</v>
      </c>
      <c r="Z6" t="str">
        <f t="shared" si="4"/>
        <v>原材料投入口-S2-ST1-P1</v>
      </c>
      <c r="AA6" t="str">
        <f t="shared" si="4"/>
        <v>廃液排出予定時間-S2-ST1-P1</v>
      </c>
      <c r="AB6" t="str">
        <f t="shared" si="4"/>
        <v>廃液排出タンク-S2-ST1-P1</v>
      </c>
      <c r="AC6" t="str">
        <f t="shared" si="4"/>
        <v>充填パターン-S2-ST1-P1</v>
      </c>
      <c r="AD6" t="str">
        <f t="shared" si="4"/>
        <v>充填包装設備-S2-ST1-P1</v>
      </c>
      <c r="AE6" t="str">
        <f t="shared" si="4"/>
        <v>製品種別-S2-ST1-P1</v>
      </c>
      <c r="AF6" t="str">
        <f t="shared" si="4"/>
        <v>荷姿コード-S2-ST1-P1</v>
      </c>
      <c r="AG6" t="str">
        <f t="shared" si="4"/>
        <v>荷姿名称-S2-ST1-P1</v>
      </c>
      <c r="AH6" t="str">
        <f t="shared" si="4"/>
        <v>荷姿数量-S2-ST1-P1</v>
      </c>
      <c r="AI6" t="str">
        <f t="shared" si="4"/>
        <v>荷姿個数-S2-ST1-P1</v>
      </c>
      <c r="AJ6" t="str">
        <f t="shared" si="4"/>
        <v>数量-S2-ST1-P1</v>
      </c>
      <c r="AK6" t="str">
        <f t="shared" si="4"/>
        <v>サンプル採取予定時刻-S2-ST1-P1</v>
      </c>
      <c r="AL6" t="str">
        <f t="shared" si="4"/>
        <v>サンプルコード-S2-ST1-P1</v>
      </c>
      <c r="AM6" t="str">
        <f t="shared" si="4"/>
        <v>プロトコルコード-S2-ST1-P1</v>
      </c>
      <c r="AN6" t="str">
        <f t="shared" si="4"/>
        <v>SAP消費生産-S2-ST1-P1</v>
      </c>
      <c r="AO6" t="str">
        <f t="shared" si="4"/>
        <v>在庫受払対象-S2-ST1-P1</v>
      </c>
      <c r="AP6" t="str">
        <f t="shared" si="4"/>
        <v>SAP連携対象-S2-ST1-P1</v>
      </c>
      <c r="AQ6" t="str">
        <f t="shared" si="4"/>
        <v>備考-S2-ST1-P1</v>
      </c>
      <c r="AR6" t="str">
        <f t="shared" si="4"/>
        <v>確定値-S2-ST1-P1</v>
      </c>
      <c r="AS6" t="str">
        <f t="shared" si="4"/>
        <v>実績収集値-S2-ST1-P1</v>
      </c>
      <c r="AT6" t="str">
        <f t="shared" si="4"/>
        <v>実績確定値-S2-ST1-P1</v>
      </c>
      <c r="AU6" t="str">
        <f t="shared" si="4"/>
        <v>設定値変更者-S2-ST1-P1</v>
      </c>
      <c r="AV6" t="str">
        <f t="shared" si="4"/>
        <v>設定値変更日時-S2-ST1-P1</v>
      </c>
      <c r="AW6" t="str">
        <f t="shared" si="4"/>
        <v>実績値変更者-S2-ST1-P1</v>
      </c>
      <c r="AX6" t="str">
        <f t="shared" si="4"/>
        <v>実績値変更日時-S2-ST1-P1</v>
      </c>
      <c r="AY6" t="str">
        <f t="shared" si="4"/>
        <v>設定値確認者-S2-ST1-P1</v>
      </c>
      <c r="AZ6" t="str">
        <f t="shared" si="4"/>
        <v>設定値確認日時-S2-ST1-P1</v>
      </c>
      <c r="BA6" t="str">
        <f t="shared" si="4"/>
        <v>実績値確認者-S2-ST1-P1</v>
      </c>
      <c r="BB6" t="str">
        <f t="shared" si="4"/>
        <v>実績値確認日時-S2-ST1-P1</v>
      </c>
      <c r="BC6" t="str">
        <f t="shared" si="4"/>
        <v>実績品目コード-S2-ST1-P1</v>
      </c>
      <c r="BD6" t="str">
        <f t="shared" si="4"/>
        <v>実績品名-S2-ST1-P1</v>
      </c>
      <c r="BE6" t="str">
        <f t="shared" si="4"/>
        <v>実績ロット-S2-ST1-P1</v>
      </c>
      <c r="BF6" t="str">
        <f t="shared" si="4"/>
        <v>実績廃液排出時間-S2-ST1-P1</v>
      </c>
      <c r="BG6" t="str">
        <f t="shared" si="4"/>
        <v>実績サンプル採取時間-S2-ST1-P1</v>
      </c>
      <c r="BH6" t="str">
        <f t="shared" si="4"/>
        <v>MES検査予定番号-S2-ST1-P1</v>
      </c>
      <c r="BI6" t="str">
        <f t="shared" si="4"/>
        <v>実績サンプルコード-S2-ST1-P1</v>
      </c>
      <c r="BJ6" t="str">
        <f t="shared" si="4"/>
        <v>実績プロトコルコード-S2-ST1-P1</v>
      </c>
      <c r="BK6" t="str">
        <f t="shared" si="4"/>
        <v>Lab-Aid依頼番号-S2-ST1-P1</v>
      </c>
      <c r="BL6" t="str">
        <f t="shared" si="4"/>
        <v>Lab-Aid合否判定-S2-ST1-P1</v>
      </c>
      <c r="BM6" t="str">
        <f t="shared" si="4"/>
        <v>計量支援指図番号-S2-ST1-P1</v>
      </c>
      <c r="BN6" t="str">
        <f t="shared" si="4"/>
        <v>実績荷姿コード-S2-ST1-P1</v>
      </c>
      <c r="BO6" t="str">
        <f t="shared" si="4"/>
        <v>実績荷姿名-S2-ST1-P1</v>
      </c>
      <c r="BP6" t="str">
        <f t="shared" si="4"/>
        <v>実績荷姿数量-S2-ST1-P1</v>
      </c>
      <c r="BQ6" t="str">
        <f t="shared" si="4"/>
        <v>実績荷姿個数-S2-ST1-P1</v>
      </c>
      <c r="BR6" t="str">
        <f t="shared" si="3"/>
        <v>実績数量-S2-ST1-P1</v>
      </c>
      <c r="BS6" t="str">
        <f t="shared" si="3"/>
        <v>SAP簿外-S2-ST1-P1</v>
      </c>
      <c r="BT6" t="str">
        <f t="shared" si="3"/>
        <v>SAP転記日-S2-ST1-P1</v>
      </c>
      <c r="BU6" t="str">
        <f t="shared" si="3"/>
        <v>SAP連携済フラグ-S2-ST1-P1</v>
      </c>
    </row>
    <row r="7" spans="1:73" x14ac:dyDescent="0.15">
      <c r="A7" t="s">
        <v>194</v>
      </c>
      <c r="B7" t="str">
        <f t="shared" si="2"/>
        <v>処方ID-S2</v>
      </c>
      <c r="C7" t="str">
        <f t="shared" si="2"/>
        <v>処方バージョン-S2</v>
      </c>
      <c r="D7" t="s">
        <v>198</v>
      </c>
      <c r="E7" t="s">
        <v>202</v>
      </c>
      <c r="F7" t="str">
        <f t="shared" si="4"/>
        <v>パラメータ名称-S2-ST1-P2</v>
      </c>
      <c r="G7" t="str">
        <f t="shared" si="4"/>
        <v>設定値-S2-ST1-P2</v>
      </c>
      <c r="H7" t="str">
        <f t="shared" si="4"/>
        <v>工業単位-S2-ST1-P2</v>
      </c>
      <c r="I7" t="str">
        <f t="shared" si="4"/>
        <v>指図確定時確認-S2-ST1-P2</v>
      </c>
      <c r="J7" t="str">
        <f t="shared" si="4"/>
        <v>表示順-S2-ST1-P2</v>
      </c>
      <c r="K7" t="str">
        <f t="shared" si="4"/>
        <v>実績収集-S2-ST1-P2</v>
      </c>
      <c r="L7" t="str">
        <f t="shared" si="4"/>
        <v>小数点以下有効桁数-S2-ST1-P2</v>
      </c>
      <c r="M7" t="str">
        <f t="shared" si="4"/>
        <v>端数処理コード-S2-ST1-P2</v>
      </c>
      <c r="N7" t="str">
        <f t="shared" si="4"/>
        <v>パラメータ属性-S2-ST1-P2</v>
      </c>
      <c r="O7" t="str">
        <f t="shared" si="4"/>
        <v>ExapilotDL対象-S2-ST1-P2</v>
      </c>
      <c r="P7" t="str">
        <f t="shared" si="4"/>
        <v>パラメータ種別-S2-ST1-P2</v>
      </c>
      <c r="Q7" t="str">
        <f t="shared" si="4"/>
        <v>SAP構成品明細番号-S2-ST1-P2</v>
      </c>
      <c r="R7" t="str">
        <f t="shared" si="4"/>
        <v>品目コード-S2-ST1-P2</v>
      </c>
      <c r="S7" t="str">
        <f t="shared" si="4"/>
        <v>品名-S2-ST1-P2</v>
      </c>
      <c r="T7" t="str">
        <f t="shared" si="4"/>
        <v>原材料グレード-S2-ST1-P2</v>
      </c>
      <c r="U7" t="str">
        <f t="shared" si="4"/>
        <v>計量パターン-S2-ST1-P2</v>
      </c>
      <c r="V7" t="str">
        <f t="shared" si="4"/>
        <v>計量上限-S2-ST1-P2</v>
      </c>
      <c r="W7" t="str">
        <f t="shared" si="4"/>
        <v>計量下限-S2-ST1-P2</v>
      </c>
      <c r="X7" t="str">
        <f t="shared" si="4"/>
        <v>仕込パターン-S2-ST1-P2</v>
      </c>
      <c r="Y7" t="str">
        <f t="shared" si="4"/>
        <v>端切単位-S2-ST1-P2</v>
      </c>
      <c r="Z7" t="str">
        <f t="shared" si="4"/>
        <v>原材料投入口-S2-ST1-P2</v>
      </c>
      <c r="AA7" t="str">
        <f t="shared" si="4"/>
        <v>廃液排出予定時間-S2-ST1-P2</v>
      </c>
      <c r="AB7" t="str">
        <f t="shared" si="4"/>
        <v>廃液排出タンク-S2-ST1-P2</v>
      </c>
      <c r="AC7" t="str">
        <f t="shared" si="4"/>
        <v>充填パターン-S2-ST1-P2</v>
      </c>
      <c r="AD7" t="str">
        <f t="shared" si="4"/>
        <v>充填包装設備-S2-ST1-P2</v>
      </c>
      <c r="AE7" t="str">
        <f t="shared" si="4"/>
        <v>製品種別-S2-ST1-P2</v>
      </c>
      <c r="AF7" t="str">
        <f t="shared" si="4"/>
        <v>荷姿コード-S2-ST1-P2</v>
      </c>
      <c r="AG7" t="str">
        <f t="shared" si="4"/>
        <v>荷姿名称-S2-ST1-P2</v>
      </c>
      <c r="AH7" t="str">
        <f t="shared" si="4"/>
        <v>荷姿数量-S2-ST1-P2</v>
      </c>
      <c r="AI7" t="str">
        <f t="shared" si="4"/>
        <v>荷姿個数-S2-ST1-P2</v>
      </c>
      <c r="AJ7" t="str">
        <f t="shared" si="4"/>
        <v>数量-S2-ST1-P2</v>
      </c>
      <c r="AK7" t="str">
        <f t="shared" si="4"/>
        <v>サンプル採取予定時刻-S2-ST1-P2</v>
      </c>
      <c r="AL7" t="str">
        <f t="shared" si="4"/>
        <v>サンプルコード-S2-ST1-P2</v>
      </c>
      <c r="AM7" t="str">
        <f t="shared" si="4"/>
        <v>プロトコルコード-S2-ST1-P2</v>
      </c>
      <c r="AN7" t="str">
        <f t="shared" si="4"/>
        <v>SAP消費生産-S2-ST1-P2</v>
      </c>
      <c r="AO7" t="str">
        <f t="shared" si="4"/>
        <v>在庫受払対象-S2-ST1-P2</v>
      </c>
      <c r="AP7" t="str">
        <f t="shared" si="4"/>
        <v>SAP連携対象-S2-ST1-P2</v>
      </c>
      <c r="AQ7" t="str">
        <f t="shared" si="4"/>
        <v>備考-S2-ST1-P2</v>
      </c>
      <c r="AR7" t="str">
        <f t="shared" si="4"/>
        <v>確定値-S2-ST1-P2</v>
      </c>
      <c r="AS7" t="str">
        <f t="shared" si="4"/>
        <v>実績収集値-S2-ST1-P2</v>
      </c>
      <c r="AT7" t="str">
        <f t="shared" si="4"/>
        <v>実績確定値-S2-ST1-P2</v>
      </c>
      <c r="AU7" t="str">
        <f t="shared" si="4"/>
        <v>設定値変更者-S2-ST1-P2</v>
      </c>
      <c r="AV7" t="str">
        <f t="shared" si="4"/>
        <v>設定値変更日時-S2-ST1-P2</v>
      </c>
      <c r="AW7" t="str">
        <f t="shared" si="4"/>
        <v>実績値変更者-S2-ST1-P2</v>
      </c>
      <c r="AX7" t="str">
        <f t="shared" si="4"/>
        <v>実績値変更日時-S2-ST1-P2</v>
      </c>
      <c r="AY7" t="str">
        <f t="shared" si="4"/>
        <v>設定値確認者-S2-ST1-P2</v>
      </c>
      <c r="AZ7" t="str">
        <f t="shared" si="4"/>
        <v>設定値確認日時-S2-ST1-P2</v>
      </c>
      <c r="BA7" t="str">
        <f t="shared" si="4"/>
        <v>実績値確認者-S2-ST1-P2</v>
      </c>
      <c r="BB7" t="str">
        <f t="shared" si="4"/>
        <v>実績値確認日時-S2-ST1-P2</v>
      </c>
      <c r="BC7" t="str">
        <f t="shared" si="4"/>
        <v>実績品目コード-S2-ST1-P2</v>
      </c>
      <c r="BD7" t="str">
        <f t="shared" si="4"/>
        <v>実績品名-S2-ST1-P2</v>
      </c>
      <c r="BE7" t="str">
        <f t="shared" si="4"/>
        <v>実績ロット-S2-ST1-P2</v>
      </c>
      <c r="BF7" t="str">
        <f t="shared" si="4"/>
        <v>実績廃液排出時間-S2-ST1-P2</v>
      </c>
      <c r="BG7" t="str">
        <f t="shared" si="4"/>
        <v>実績サンプル採取時間-S2-ST1-P2</v>
      </c>
      <c r="BH7" t="str">
        <f t="shared" si="4"/>
        <v>MES検査予定番号-S2-ST1-P2</v>
      </c>
      <c r="BI7" t="str">
        <f t="shared" si="4"/>
        <v>実績サンプルコード-S2-ST1-P2</v>
      </c>
      <c r="BJ7" t="str">
        <f t="shared" si="4"/>
        <v>実績プロトコルコード-S2-ST1-P2</v>
      </c>
      <c r="BK7" t="str">
        <f t="shared" si="4"/>
        <v>Lab-Aid依頼番号-S2-ST1-P2</v>
      </c>
      <c r="BL7" t="str">
        <f t="shared" si="4"/>
        <v>Lab-Aid合否判定-S2-ST1-P2</v>
      </c>
      <c r="BM7" t="str">
        <f t="shared" si="4"/>
        <v>計量支援指図番号-S2-ST1-P2</v>
      </c>
      <c r="BN7" t="str">
        <f t="shared" si="4"/>
        <v>実績荷姿コード-S2-ST1-P2</v>
      </c>
      <c r="BO7" t="str">
        <f t="shared" si="4"/>
        <v>実績荷姿名-S2-ST1-P2</v>
      </c>
      <c r="BP7" t="str">
        <f t="shared" si="4"/>
        <v>実績荷姿数量-S2-ST1-P2</v>
      </c>
      <c r="BQ7" t="str">
        <f t="shared" si="4"/>
        <v>実績荷姿個数-S2-ST1-P2</v>
      </c>
      <c r="BR7" t="str">
        <f t="shared" si="3"/>
        <v>実績数量-S2-ST1-P2</v>
      </c>
      <c r="BS7" t="str">
        <f t="shared" si="3"/>
        <v>SAP簿外-S2-ST1-P2</v>
      </c>
      <c r="BT7" t="str">
        <f t="shared" si="3"/>
        <v>SAP転記日-S2-ST1-P2</v>
      </c>
      <c r="BU7" t="str">
        <f t="shared" si="3"/>
        <v>SAP連携済フラグ-S2-ST1-P2</v>
      </c>
    </row>
    <row r="8" spans="1:73" x14ac:dyDescent="0.15">
      <c r="A8" t="s">
        <v>194</v>
      </c>
      <c r="B8" t="str">
        <f t="shared" si="2"/>
        <v>処方ID-S2</v>
      </c>
      <c r="C8" t="str">
        <f t="shared" si="2"/>
        <v>処方バージョン-S2</v>
      </c>
      <c r="D8" t="s">
        <v>200</v>
      </c>
      <c r="E8" t="s">
        <v>201</v>
      </c>
      <c r="F8" t="str">
        <f t="shared" si="4"/>
        <v>パラメータ名称-S2-ST2-P1</v>
      </c>
      <c r="G8" t="str">
        <f t="shared" si="4"/>
        <v>設定値-S2-ST2-P1</v>
      </c>
      <c r="H8" t="str">
        <f t="shared" si="4"/>
        <v>工業単位-S2-ST2-P1</v>
      </c>
      <c r="I8" t="str">
        <f t="shared" si="4"/>
        <v>指図確定時確認-S2-ST2-P1</v>
      </c>
      <c r="J8" t="str">
        <f t="shared" si="4"/>
        <v>表示順-S2-ST2-P1</v>
      </c>
      <c r="K8" t="str">
        <f t="shared" si="4"/>
        <v>実績収集-S2-ST2-P1</v>
      </c>
      <c r="L8" t="str">
        <f t="shared" si="4"/>
        <v>小数点以下有効桁数-S2-ST2-P1</v>
      </c>
      <c r="M8" t="str">
        <f t="shared" si="4"/>
        <v>端数処理コード-S2-ST2-P1</v>
      </c>
      <c r="N8" t="str">
        <f t="shared" si="4"/>
        <v>パラメータ属性-S2-ST2-P1</v>
      </c>
      <c r="O8" t="str">
        <f t="shared" si="4"/>
        <v>ExapilotDL対象-S2-ST2-P1</v>
      </c>
      <c r="P8" t="str">
        <f t="shared" si="4"/>
        <v>パラメータ種別-S2-ST2-P1</v>
      </c>
      <c r="Q8" t="str">
        <f t="shared" si="4"/>
        <v>SAP構成品明細番号-S2-ST2-P1</v>
      </c>
      <c r="R8" t="str">
        <f t="shared" si="4"/>
        <v>品目コード-S2-ST2-P1</v>
      </c>
      <c r="S8" t="str">
        <f t="shared" si="4"/>
        <v>品名-S2-ST2-P1</v>
      </c>
      <c r="T8" t="str">
        <f t="shared" si="4"/>
        <v>原材料グレード-S2-ST2-P1</v>
      </c>
      <c r="U8" t="str">
        <f t="shared" si="4"/>
        <v>計量パターン-S2-ST2-P1</v>
      </c>
      <c r="V8" t="str">
        <f t="shared" si="4"/>
        <v>計量上限-S2-ST2-P1</v>
      </c>
      <c r="W8" t="str">
        <f t="shared" si="4"/>
        <v>計量下限-S2-ST2-P1</v>
      </c>
      <c r="X8" t="str">
        <f t="shared" si="4"/>
        <v>仕込パターン-S2-ST2-P1</v>
      </c>
      <c r="Y8" t="str">
        <f t="shared" si="4"/>
        <v>端切単位-S2-ST2-P1</v>
      </c>
      <c r="Z8" t="str">
        <f t="shared" si="4"/>
        <v>原材料投入口-S2-ST2-P1</v>
      </c>
      <c r="AA8" t="str">
        <f t="shared" si="4"/>
        <v>廃液排出予定時間-S2-ST2-P1</v>
      </c>
      <c r="AB8" t="str">
        <f t="shared" si="4"/>
        <v>廃液排出タンク-S2-ST2-P1</v>
      </c>
      <c r="AC8" t="str">
        <f t="shared" si="4"/>
        <v>充填パターン-S2-ST2-P1</v>
      </c>
      <c r="AD8" t="str">
        <f t="shared" si="4"/>
        <v>充填包装設備-S2-ST2-P1</v>
      </c>
      <c r="AE8" t="str">
        <f t="shared" si="4"/>
        <v>製品種別-S2-ST2-P1</v>
      </c>
      <c r="AF8" t="str">
        <f t="shared" si="4"/>
        <v>荷姿コード-S2-ST2-P1</v>
      </c>
      <c r="AG8" t="str">
        <f t="shared" si="4"/>
        <v>荷姿名称-S2-ST2-P1</v>
      </c>
      <c r="AH8" t="str">
        <f t="shared" si="4"/>
        <v>荷姿数量-S2-ST2-P1</v>
      </c>
      <c r="AI8" t="str">
        <f t="shared" si="4"/>
        <v>荷姿個数-S2-ST2-P1</v>
      </c>
      <c r="AJ8" t="str">
        <f t="shared" si="4"/>
        <v>数量-S2-ST2-P1</v>
      </c>
      <c r="AK8" t="str">
        <f t="shared" si="4"/>
        <v>サンプル採取予定時刻-S2-ST2-P1</v>
      </c>
      <c r="AL8" t="str">
        <f t="shared" si="4"/>
        <v>サンプルコード-S2-ST2-P1</v>
      </c>
      <c r="AM8" t="str">
        <f t="shared" si="4"/>
        <v>プロトコルコード-S2-ST2-P1</v>
      </c>
      <c r="AN8" t="str">
        <f t="shared" si="4"/>
        <v>SAP消費生産-S2-ST2-P1</v>
      </c>
      <c r="AO8" t="str">
        <f t="shared" si="4"/>
        <v>在庫受払対象-S2-ST2-P1</v>
      </c>
      <c r="AP8" t="str">
        <f t="shared" si="4"/>
        <v>SAP連携対象-S2-ST2-P1</v>
      </c>
      <c r="AQ8" t="str">
        <f t="shared" si="4"/>
        <v>備考-S2-ST2-P1</v>
      </c>
      <c r="AR8" t="str">
        <f t="shared" si="4"/>
        <v>確定値-S2-ST2-P1</v>
      </c>
      <c r="AS8" t="str">
        <f t="shared" si="4"/>
        <v>実績収集値-S2-ST2-P1</v>
      </c>
      <c r="AT8" t="str">
        <f t="shared" si="4"/>
        <v>実績確定値-S2-ST2-P1</v>
      </c>
      <c r="AU8" t="str">
        <f t="shared" si="4"/>
        <v>設定値変更者-S2-ST2-P1</v>
      </c>
      <c r="AV8" t="str">
        <f t="shared" si="4"/>
        <v>設定値変更日時-S2-ST2-P1</v>
      </c>
      <c r="AW8" t="str">
        <f t="shared" si="4"/>
        <v>実績値変更者-S2-ST2-P1</v>
      </c>
      <c r="AX8" t="str">
        <f t="shared" si="4"/>
        <v>実績値変更日時-S2-ST2-P1</v>
      </c>
      <c r="AY8" t="str">
        <f t="shared" si="4"/>
        <v>設定値確認者-S2-ST2-P1</v>
      </c>
      <c r="AZ8" t="str">
        <f t="shared" si="4"/>
        <v>設定値確認日時-S2-ST2-P1</v>
      </c>
      <c r="BA8" t="str">
        <f t="shared" si="4"/>
        <v>実績値確認者-S2-ST2-P1</v>
      </c>
      <c r="BB8" t="str">
        <f t="shared" si="4"/>
        <v>実績値確認日時-S2-ST2-P1</v>
      </c>
      <c r="BC8" t="str">
        <f t="shared" si="4"/>
        <v>実績品目コード-S2-ST2-P1</v>
      </c>
      <c r="BD8" t="str">
        <f t="shared" si="4"/>
        <v>実績品名-S2-ST2-P1</v>
      </c>
      <c r="BE8" t="str">
        <f t="shared" si="4"/>
        <v>実績ロット-S2-ST2-P1</v>
      </c>
      <c r="BF8" t="str">
        <f t="shared" si="4"/>
        <v>実績廃液排出時間-S2-ST2-P1</v>
      </c>
      <c r="BG8" t="str">
        <f t="shared" si="4"/>
        <v>実績サンプル採取時間-S2-ST2-P1</v>
      </c>
      <c r="BH8" t="str">
        <f t="shared" si="4"/>
        <v>MES検査予定番号-S2-ST2-P1</v>
      </c>
      <c r="BI8" t="str">
        <f t="shared" si="4"/>
        <v>実績サンプルコード-S2-ST2-P1</v>
      </c>
      <c r="BJ8" t="str">
        <f t="shared" si="4"/>
        <v>実績プロトコルコード-S2-ST2-P1</v>
      </c>
      <c r="BK8" t="str">
        <f t="shared" si="4"/>
        <v>Lab-Aid依頼番号-S2-ST2-P1</v>
      </c>
      <c r="BL8" t="str">
        <f t="shared" si="4"/>
        <v>Lab-Aid合否判定-S2-ST2-P1</v>
      </c>
      <c r="BM8" t="str">
        <f t="shared" si="4"/>
        <v>計量支援指図番号-S2-ST2-P1</v>
      </c>
      <c r="BN8" t="str">
        <f t="shared" si="4"/>
        <v>実績荷姿コード-S2-ST2-P1</v>
      </c>
      <c r="BO8" t="str">
        <f t="shared" si="4"/>
        <v>実績荷姿名-S2-ST2-P1</v>
      </c>
      <c r="BP8" t="str">
        <f t="shared" si="4"/>
        <v>実績荷姿数量-S2-ST2-P1</v>
      </c>
      <c r="BQ8" t="str">
        <f t="shared" si="4"/>
        <v>実績荷姿個数-S2-ST2-P1</v>
      </c>
      <c r="BR8" t="str">
        <f t="shared" si="3"/>
        <v>実績数量-S2-ST2-P1</v>
      </c>
      <c r="BS8" t="str">
        <f t="shared" si="3"/>
        <v>SAP簿外-S2-ST2-P1</v>
      </c>
      <c r="BT8" t="str">
        <f t="shared" si="3"/>
        <v>SAP転記日-S2-ST2-P1</v>
      </c>
      <c r="BU8" t="str">
        <f t="shared" si="3"/>
        <v>SAP連携済フラグ-S2-ST2-P1</v>
      </c>
    </row>
    <row r="9" spans="1:73" x14ac:dyDescent="0.15">
      <c r="A9" t="s">
        <v>194</v>
      </c>
      <c r="B9" t="str">
        <f t="shared" si="2"/>
        <v>処方ID-S2</v>
      </c>
      <c r="C9" t="str">
        <f t="shared" si="2"/>
        <v>処方バージョン-S2</v>
      </c>
      <c r="D9" t="s">
        <v>200</v>
      </c>
      <c r="E9" t="s">
        <v>202</v>
      </c>
      <c r="F9" t="str">
        <f t="shared" si="4"/>
        <v>パラメータ名称-S2-ST2-P2</v>
      </c>
      <c r="G9" t="str">
        <f t="shared" si="4"/>
        <v>設定値-S2-ST2-P2</v>
      </c>
      <c r="H9" t="str">
        <f t="shared" si="4"/>
        <v>工業単位-S2-ST2-P2</v>
      </c>
      <c r="I9" t="str">
        <f t="shared" si="4"/>
        <v>指図確定時確認-S2-ST2-P2</v>
      </c>
      <c r="J9" t="str">
        <f t="shared" si="4"/>
        <v>表示順-S2-ST2-P2</v>
      </c>
      <c r="K9" t="str">
        <f t="shared" si="4"/>
        <v>実績収集-S2-ST2-P2</v>
      </c>
      <c r="L9" t="str">
        <f t="shared" si="4"/>
        <v>小数点以下有効桁数-S2-ST2-P2</v>
      </c>
      <c r="M9" t="str">
        <f t="shared" si="4"/>
        <v>端数処理コード-S2-ST2-P2</v>
      </c>
      <c r="N9" t="str">
        <f t="shared" si="4"/>
        <v>パラメータ属性-S2-ST2-P2</v>
      </c>
      <c r="O9" t="str">
        <f t="shared" si="4"/>
        <v>ExapilotDL対象-S2-ST2-P2</v>
      </c>
      <c r="P9" t="str">
        <f t="shared" si="4"/>
        <v>パラメータ種別-S2-ST2-P2</v>
      </c>
      <c r="Q9" t="str">
        <f t="shared" si="4"/>
        <v>SAP構成品明細番号-S2-ST2-P2</v>
      </c>
      <c r="R9" t="str">
        <f t="shared" si="4"/>
        <v>品目コード-S2-ST2-P2</v>
      </c>
      <c r="S9" t="str">
        <f t="shared" si="4"/>
        <v>品名-S2-ST2-P2</v>
      </c>
      <c r="T9" t="str">
        <f t="shared" si="4"/>
        <v>原材料グレード-S2-ST2-P2</v>
      </c>
      <c r="U9" t="str">
        <f t="shared" si="4"/>
        <v>計量パターン-S2-ST2-P2</v>
      </c>
      <c r="V9" t="str">
        <f t="shared" si="4"/>
        <v>計量上限-S2-ST2-P2</v>
      </c>
      <c r="W9" t="str">
        <f t="shared" si="4"/>
        <v>計量下限-S2-ST2-P2</v>
      </c>
      <c r="X9" t="str">
        <f t="shared" si="4"/>
        <v>仕込パターン-S2-ST2-P2</v>
      </c>
      <c r="Y9" t="str">
        <f t="shared" si="4"/>
        <v>端切単位-S2-ST2-P2</v>
      </c>
      <c r="Z9" t="str">
        <f t="shared" si="4"/>
        <v>原材料投入口-S2-ST2-P2</v>
      </c>
      <c r="AA9" t="str">
        <f t="shared" si="4"/>
        <v>廃液排出予定時間-S2-ST2-P2</v>
      </c>
      <c r="AB9" t="str">
        <f t="shared" si="4"/>
        <v>廃液排出タンク-S2-ST2-P2</v>
      </c>
      <c r="AC9" t="str">
        <f t="shared" si="4"/>
        <v>充填パターン-S2-ST2-P2</v>
      </c>
      <c r="AD9" t="str">
        <f t="shared" si="4"/>
        <v>充填包装設備-S2-ST2-P2</v>
      </c>
      <c r="AE9" t="str">
        <f t="shared" si="4"/>
        <v>製品種別-S2-ST2-P2</v>
      </c>
      <c r="AF9" t="str">
        <f t="shared" si="4"/>
        <v>荷姿コード-S2-ST2-P2</v>
      </c>
      <c r="AG9" t="str">
        <f t="shared" si="4"/>
        <v>荷姿名称-S2-ST2-P2</v>
      </c>
      <c r="AH9" t="str">
        <f t="shared" si="4"/>
        <v>荷姿数量-S2-ST2-P2</v>
      </c>
      <c r="AI9" t="str">
        <f t="shared" si="4"/>
        <v>荷姿個数-S2-ST2-P2</v>
      </c>
      <c r="AJ9" t="str">
        <f t="shared" si="4"/>
        <v>数量-S2-ST2-P2</v>
      </c>
      <c r="AK9" t="str">
        <f t="shared" si="4"/>
        <v>サンプル採取予定時刻-S2-ST2-P2</v>
      </c>
      <c r="AL9" t="str">
        <f t="shared" si="4"/>
        <v>サンプルコード-S2-ST2-P2</v>
      </c>
      <c r="AM9" t="str">
        <f t="shared" si="4"/>
        <v>プロトコルコード-S2-ST2-P2</v>
      </c>
      <c r="AN9" t="str">
        <f t="shared" si="4"/>
        <v>SAP消費生産-S2-ST2-P2</v>
      </c>
      <c r="AO9" t="str">
        <f t="shared" si="4"/>
        <v>在庫受払対象-S2-ST2-P2</v>
      </c>
      <c r="AP9" t="str">
        <f t="shared" si="4"/>
        <v>SAP連携対象-S2-ST2-P2</v>
      </c>
      <c r="AQ9" t="str">
        <f t="shared" si="4"/>
        <v>備考-S2-ST2-P2</v>
      </c>
      <c r="AR9" t="str">
        <f t="shared" si="4"/>
        <v>確定値-S2-ST2-P2</v>
      </c>
      <c r="AS9" t="str">
        <f t="shared" si="4"/>
        <v>実績収集値-S2-ST2-P2</v>
      </c>
      <c r="AT9" t="str">
        <f t="shared" si="4"/>
        <v>実績確定値-S2-ST2-P2</v>
      </c>
      <c r="AU9" t="str">
        <f t="shared" si="4"/>
        <v>設定値変更者-S2-ST2-P2</v>
      </c>
      <c r="AV9" t="str">
        <f t="shared" si="4"/>
        <v>設定値変更日時-S2-ST2-P2</v>
      </c>
      <c r="AW9" t="str">
        <f t="shared" si="4"/>
        <v>実績値変更者-S2-ST2-P2</v>
      </c>
      <c r="AX9" t="str">
        <f t="shared" si="4"/>
        <v>実績値変更日時-S2-ST2-P2</v>
      </c>
      <c r="AY9" t="str">
        <f t="shared" si="4"/>
        <v>設定値確認者-S2-ST2-P2</v>
      </c>
      <c r="AZ9" t="str">
        <f t="shared" si="4"/>
        <v>設定値確認日時-S2-ST2-P2</v>
      </c>
      <c r="BA9" t="str">
        <f t="shared" si="4"/>
        <v>実績値確認者-S2-ST2-P2</v>
      </c>
      <c r="BB9" t="str">
        <f t="shared" si="4"/>
        <v>実績値確認日時-S2-ST2-P2</v>
      </c>
      <c r="BC9" t="str">
        <f t="shared" si="4"/>
        <v>実績品目コード-S2-ST2-P2</v>
      </c>
      <c r="BD9" t="str">
        <f t="shared" si="4"/>
        <v>実績品名-S2-ST2-P2</v>
      </c>
      <c r="BE9" t="str">
        <f t="shared" si="4"/>
        <v>実績ロット-S2-ST2-P2</v>
      </c>
      <c r="BF9" t="str">
        <f t="shared" si="4"/>
        <v>実績廃液排出時間-S2-ST2-P2</v>
      </c>
      <c r="BG9" t="str">
        <f t="shared" si="4"/>
        <v>実績サンプル採取時間-S2-ST2-P2</v>
      </c>
      <c r="BH9" t="str">
        <f t="shared" si="4"/>
        <v>MES検査予定番号-S2-ST2-P2</v>
      </c>
      <c r="BI9" t="str">
        <f t="shared" si="4"/>
        <v>実績サンプルコード-S2-ST2-P2</v>
      </c>
      <c r="BJ9" t="str">
        <f t="shared" si="4"/>
        <v>実績プロトコルコード-S2-ST2-P2</v>
      </c>
      <c r="BK9" t="str">
        <f t="shared" si="4"/>
        <v>Lab-Aid依頼番号-S2-ST2-P2</v>
      </c>
      <c r="BL9" t="str">
        <f t="shared" si="4"/>
        <v>Lab-Aid合否判定-S2-ST2-P2</v>
      </c>
      <c r="BM9" t="str">
        <f t="shared" si="4"/>
        <v>計量支援指図番号-S2-ST2-P2</v>
      </c>
      <c r="BN9" t="str">
        <f t="shared" si="4"/>
        <v>実績荷姿コード-S2-ST2-P2</v>
      </c>
      <c r="BO9" t="str">
        <f t="shared" si="4"/>
        <v>実績荷姿名-S2-ST2-P2</v>
      </c>
      <c r="BP9" t="str">
        <f t="shared" si="4"/>
        <v>実績荷姿数量-S2-ST2-P2</v>
      </c>
      <c r="BQ9" t="str">
        <f t="shared" ref="BQ9:BU12" si="5">BQ$1&amp;"-"&amp;$A9&amp;"-"&amp;$D9&amp;"-"&amp;$E9</f>
        <v>実績荷姿個数-S2-ST2-P2</v>
      </c>
      <c r="BR9" t="str">
        <f t="shared" si="5"/>
        <v>実績数量-S2-ST2-P2</v>
      </c>
      <c r="BS9" t="str">
        <f t="shared" si="5"/>
        <v>SAP簿外-S2-ST2-P2</v>
      </c>
      <c r="BT9" t="str">
        <f t="shared" si="5"/>
        <v>SAP転記日-S2-ST2-P2</v>
      </c>
      <c r="BU9" t="str">
        <f t="shared" si="5"/>
        <v>SAP連携済フラグ-S2-ST2-P2</v>
      </c>
    </row>
    <row r="10" spans="1:73" x14ac:dyDescent="0.15">
      <c r="A10" t="s">
        <v>195</v>
      </c>
      <c r="B10" t="str">
        <f t="shared" si="2"/>
        <v>処方ID-S3</v>
      </c>
      <c r="C10" t="str">
        <f t="shared" si="2"/>
        <v>処方バージョン-S3</v>
      </c>
      <c r="D10" t="s">
        <v>198</v>
      </c>
      <c r="E10" t="s">
        <v>201</v>
      </c>
      <c r="F10" t="str">
        <f t="shared" ref="F10:BQ13" si="6">F$1&amp;"-"&amp;$A10&amp;"-"&amp;$D10&amp;"-"&amp;$E10</f>
        <v>パラメータ名称-S3-ST1-P1</v>
      </c>
      <c r="G10" t="str">
        <f t="shared" si="6"/>
        <v>設定値-S3-ST1-P1</v>
      </c>
      <c r="H10" t="str">
        <f t="shared" si="6"/>
        <v>工業単位-S3-ST1-P1</v>
      </c>
      <c r="I10" t="str">
        <f t="shared" si="6"/>
        <v>指図確定時確認-S3-ST1-P1</v>
      </c>
      <c r="J10" t="str">
        <f t="shared" si="6"/>
        <v>表示順-S3-ST1-P1</v>
      </c>
      <c r="K10" t="str">
        <f t="shared" si="6"/>
        <v>実績収集-S3-ST1-P1</v>
      </c>
      <c r="L10" t="str">
        <f t="shared" si="6"/>
        <v>小数点以下有効桁数-S3-ST1-P1</v>
      </c>
      <c r="M10" t="str">
        <f t="shared" si="6"/>
        <v>端数処理コード-S3-ST1-P1</v>
      </c>
      <c r="N10" t="str">
        <f t="shared" si="6"/>
        <v>パラメータ属性-S3-ST1-P1</v>
      </c>
      <c r="O10" t="str">
        <f t="shared" si="6"/>
        <v>ExapilotDL対象-S3-ST1-P1</v>
      </c>
      <c r="P10" t="str">
        <f t="shared" si="6"/>
        <v>パラメータ種別-S3-ST1-P1</v>
      </c>
      <c r="Q10" t="str">
        <f t="shared" si="6"/>
        <v>SAP構成品明細番号-S3-ST1-P1</v>
      </c>
      <c r="R10" t="str">
        <f t="shared" si="6"/>
        <v>品目コード-S3-ST1-P1</v>
      </c>
      <c r="S10" t="str">
        <f t="shared" si="6"/>
        <v>品名-S3-ST1-P1</v>
      </c>
      <c r="T10" t="str">
        <f t="shared" si="6"/>
        <v>原材料グレード-S3-ST1-P1</v>
      </c>
      <c r="U10" t="str">
        <f t="shared" si="6"/>
        <v>計量パターン-S3-ST1-P1</v>
      </c>
      <c r="V10" t="str">
        <f t="shared" si="6"/>
        <v>計量上限-S3-ST1-P1</v>
      </c>
      <c r="W10" t="str">
        <f t="shared" si="6"/>
        <v>計量下限-S3-ST1-P1</v>
      </c>
      <c r="X10" t="str">
        <f t="shared" si="6"/>
        <v>仕込パターン-S3-ST1-P1</v>
      </c>
      <c r="Y10" t="str">
        <f t="shared" si="6"/>
        <v>端切単位-S3-ST1-P1</v>
      </c>
      <c r="Z10" t="str">
        <f t="shared" si="6"/>
        <v>原材料投入口-S3-ST1-P1</v>
      </c>
      <c r="AA10" t="str">
        <f t="shared" si="6"/>
        <v>廃液排出予定時間-S3-ST1-P1</v>
      </c>
      <c r="AB10" t="str">
        <f t="shared" si="6"/>
        <v>廃液排出タンク-S3-ST1-P1</v>
      </c>
      <c r="AC10" t="str">
        <f t="shared" si="6"/>
        <v>充填パターン-S3-ST1-P1</v>
      </c>
      <c r="AD10" t="str">
        <f t="shared" si="6"/>
        <v>充填包装設備-S3-ST1-P1</v>
      </c>
      <c r="AE10" t="str">
        <f t="shared" si="6"/>
        <v>製品種別-S3-ST1-P1</v>
      </c>
      <c r="AF10" t="str">
        <f t="shared" si="6"/>
        <v>荷姿コード-S3-ST1-P1</v>
      </c>
      <c r="AG10" t="str">
        <f t="shared" si="6"/>
        <v>荷姿名称-S3-ST1-P1</v>
      </c>
      <c r="AH10" t="str">
        <f t="shared" si="6"/>
        <v>荷姿数量-S3-ST1-P1</v>
      </c>
      <c r="AI10" t="str">
        <f t="shared" si="6"/>
        <v>荷姿個数-S3-ST1-P1</v>
      </c>
      <c r="AJ10" t="str">
        <f t="shared" si="6"/>
        <v>数量-S3-ST1-P1</v>
      </c>
      <c r="AK10" t="str">
        <f t="shared" si="6"/>
        <v>サンプル採取予定時刻-S3-ST1-P1</v>
      </c>
      <c r="AL10" t="str">
        <f t="shared" si="6"/>
        <v>サンプルコード-S3-ST1-P1</v>
      </c>
      <c r="AM10" t="str">
        <f t="shared" si="6"/>
        <v>プロトコルコード-S3-ST1-P1</v>
      </c>
      <c r="AN10" t="str">
        <f t="shared" si="6"/>
        <v>SAP消費生産-S3-ST1-P1</v>
      </c>
      <c r="AO10" t="str">
        <f t="shared" si="6"/>
        <v>在庫受払対象-S3-ST1-P1</v>
      </c>
      <c r="AP10" t="str">
        <f t="shared" si="6"/>
        <v>SAP連携対象-S3-ST1-P1</v>
      </c>
      <c r="AQ10" t="str">
        <f t="shared" si="6"/>
        <v>備考-S3-ST1-P1</v>
      </c>
      <c r="AR10" t="str">
        <f t="shared" si="6"/>
        <v>確定値-S3-ST1-P1</v>
      </c>
      <c r="AS10" t="str">
        <f t="shared" si="6"/>
        <v>実績収集値-S3-ST1-P1</v>
      </c>
      <c r="AT10" t="str">
        <f t="shared" si="6"/>
        <v>実績確定値-S3-ST1-P1</v>
      </c>
      <c r="AU10" t="str">
        <f t="shared" si="6"/>
        <v>設定値変更者-S3-ST1-P1</v>
      </c>
      <c r="AV10" t="str">
        <f t="shared" si="6"/>
        <v>設定値変更日時-S3-ST1-P1</v>
      </c>
      <c r="AW10" t="str">
        <f t="shared" si="6"/>
        <v>実績値変更者-S3-ST1-P1</v>
      </c>
      <c r="AX10" t="str">
        <f t="shared" si="6"/>
        <v>実績値変更日時-S3-ST1-P1</v>
      </c>
      <c r="AY10" t="str">
        <f t="shared" si="6"/>
        <v>設定値確認者-S3-ST1-P1</v>
      </c>
      <c r="AZ10" t="str">
        <f t="shared" si="6"/>
        <v>設定値確認日時-S3-ST1-P1</v>
      </c>
      <c r="BA10" t="str">
        <f t="shared" si="6"/>
        <v>実績値確認者-S3-ST1-P1</v>
      </c>
      <c r="BB10" t="str">
        <f t="shared" si="6"/>
        <v>実績値確認日時-S3-ST1-P1</v>
      </c>
      <c r="BC10" t="str">
        <f t="shared" si="6"/>
        <v>実績品目コード-S3-ST1-P1</v>
      </c>
      <c r="BD10" t="str">
        <f t="shared" si="6"/>
        <v>実績品名-S3-ST1-P1</v>
      </c>
      <c r="BE10" t="str">
        <f t="shared" si="6"/>
        <v>実績ロット-S3-ST1-P1</v>
      </c>
      <c r="BF10" t="str">
        <f t="shared" si="6"/>
        <v>実績廃液排出時間-S3-ST1-P1</v>
      </c>
      <c r="BG10" t="str">
        <f t="shared" si="6"/>
        <v>実績サンプル採取時間-S3-ST1-P1</v>
      </c>
      <c r="BH10" t="str">
        <f t="shared" si="6"/>
        <v>MES検査予定番号-S3-ST1-P1</v>
      </c>
      <c r="BI10" t="str">
        <f t="shared" si="6"/>
        <v>実績サンプルコード-S3-ST1-P1</v>
      </c>
      <c r="BJ10" t="str">
        <f t="shared" si="6"/>
        <v>実績プロトコルコード-S3-ST1-P1</v>
      </c>
      <c r="BK10" t="str">
        <f t="shared" si="6"/>
        <v>Lab-Aid依頼番号-S3-ST1-P1</v>
      </c>
      <c r="BL10" t="str">
        <f t="shared" si="6"/>
        <v>Lab-Aid合否判定-S3-ST1-P1</v>
      </c>
      <c r="BM10" t="str">
        <f t="shared" si="6"/>
        <v>計量支援指図番号-S3-ST1-P1</v>
      </c>
      <c r="BN10" t="str">
        <f t="shared" si="6"/>
        <v>実績荷姿コード-S3-ST1-P1</v>
      </c>
      <c r="BO10" t="str">
        <f t="shared" si="6"/>
        <v>実績荷姿名-S3-ST1-P1</v>
      </c>
      <c r="BP10" t="str">
        <f t="shared" si="6"/>
        <v>実績荷姿数量-S3-ST1-P1</v>
      </c>
      <c r="BQ10" t="str">
        <f t="shared" si="6"/>
        <v>実績荷姿個数-S3-ST1-P1</v>
      </c>
      <c r="BR10" t="str">
        <f t="shared" si="5"/>
        <v>実績数量-S3-ST1-P1</v>
      </c>
      <c r="BS10" t="str">
        <f t="shared" si="5"/>
        <v>SAP簿外-S3-ST1-P1</v>
      </c>
      <c r="BT10" t="str">
        <f t="shared" si="5"/>
        <v>SAP転記日-S3-ST1-P1</v>
      </c>
      <c r="BU10" t="str">
        <f t="shared" si="5"/>
        <v>SAP連携済フラグ-S3-ST1-P1</v>
      </c>
    </row>
    <row r="11" spans="1:73" x14ac:dyDescent="0.15">
      <c r="A11" t="s">
        <v>195</v>
      </c>
      <c r="B11" t="str">
        <f t="shared" si="2"/>
        <v>処方ID-S3</v>
      </c>
      <c r="C11" t="str">
        <f t="shared" si="2"/>
        <v>処方バージョン-S3</v>
      </c>
      <c r="D11" t="s">
        <v>198</v>
      </c>
      <c r="E11" t="s">
        <v>202</v>
      </c>
      <c r="F11" t="str">
        <f t="shared" si="6"/>
        <v>パラメータ名称-S3-ST1-P2</v>
      </c>
      <c r="G11" t="str">
        <f t="shared" si="6"/>
        <v>設定値-S3-ST1-P2</v>
      </c>
      <c r="H11" t="str">
        <f t="shared" si="6"/>
        <v>工業単位-S3-ST1-P2</v>
      </c>
      <c r="I11" t="str">
        <f t="shared" si="6"/>
        <v>指図確定時確認-S3-ST1-P2</v>
      </c>
      <c r="J11" t="str">
        <f t="shared" si="6"/>
        <v>表示順-S3-ST1-P2</v>
      </c>
      <c r="K11" t="str">
        <f t="shared" si="6"/>
        <v>実績収集-S3-ST1-P2</v>
      </c>
      <c r="L11" t="str">
        <f t="shared" si="6"/>
        <v>小数点以下有効桁数-S3-ST1-P2</v>
      </c>
      <c r="M11" t="str">
        <f t="shared" si="6"/>
        <v>端数処理コード-S3-ST1-P2</v>
      </c>
      <c r="N11" t="str">
        <f t="shared" si="6"/>
        <v>パラメータ属性-S3-ST1-P2</v>
      </c>
      <c r="O11" t="str">
        <f t="shared" si="6"/>
        <v>ExapilotDL対象-S3-ST1-P2</v>
      </c>
      <c r="P11" t="str">
        <f t="shared" si="6"/>
        <v>パラメータ種別-S3-ST1-P2</v>
      </c>
      <c r="Q11" t="str">
        <f t="shared" si="6"/>
        <v>SAP構成品明細番号-S3-ST1-P2</v>
      </c>
      <c r="R11" t="str">
        <f t="shared" si="6"/>
        <v>品目コード-S3-ST1-P2</v>
      </c>
      <c r="S11" t="str">
        <f t="shared" si="6"/>
        <v>品名-S3-ST1-P2</v>
      </c>
      <c r="T11" t="str">
        <f t="shared" si="6"/>
        <v>原材料グレード-S3-ST1-P2</v>
      </c>
      <c r="U11" t="str">
        <f t="shared" si="6"/>
        <v>計量パターン-S3-ST1-P2</v>
      </c>
      <c r="V11" t="str">
        <f t="shared" si="6"/>
        <v>計量上限-S3-ST1-P2</v>
      </c>
      <c r="W11" t="str">
        <f t="shared" si="6"/>
        <v>計量下限-S3-ST1-P2</v>
      </c>
      <c r="X11" t="str">
        <f t="shared" si="6"/>
        <v>仕込パターン-S3-ST1-P2</v>
      </c>
      <c r="Y11" t="str">
        <f t="shared" si="6"/>
        <v>端切単位-S3-ST1-P2</v>
      </c>
      <c r="Z11" t="str">
        <f t="shared" si="6"/>
        <v>原材料投入口-S3-ST1-P2</v>
      </c>
      <c r="AA11" t="str">
        <f t="shared" si="6"/>
        <v>廃液排出予定時間-S3-ST1-P2</v>
      </c>
      <c r="AB11" t="str">
        <f t="shared" si="6"/>
        <v>廃液排出タンク-S3-ST1-P2</v>
      </c>
      <c r="AC11" t="str">
        <f t="shared" si="6"/>
        <v>充填パターン-S3-ST1-P2</v>
      </c>
      <c r="AD11" t="str">
        <f t="shared" si="6"/>
        <v>充填包装設備-S3-ST1-P2</v>
      </c>
      <c r="AE11" t="str">
        <f t="shared" si="6"/>
        <v>製品種別-S3-ST1-P2</v>
      </c>
      <c r="AF11" t="str">
        <f t="shared" si="6"/>
        <v>荷姿コード-S3-ST1-P2</v>
      </c>
      <c r="AG11" t="str">
        <f t="shared" si="6"/>
        <v>荷姿名称-S3-ST1-P2</v>
      </c>
      <c r="AH11" t="str">
        <f t="shared" si="6"/>
        <v>荷姿数量-S3-ST1-P2</v>
      </c>
      <c r="AI11" t="str">
        <f t="shared" si="6"/>
        <v>荷姿個数-S3-ST1-P2</v>
      </c>
      <c r="AJ11" t="str">
        <f t="shared" si="6"/>
        <v>数量-S3-ST1-P2</v>
      </c>
      <c r="AK11" t="str">
        <f t="shared" si="6"/>
        <v>サンプル採取予定時刻-S3-ST1-P2</v>
      </c>
      <c r="AL11" t="str">
        <f t="shared" si="6"/>
        <v>サンプルコード-S3-ST1-P2</v>
      </c>
      <c r="AM11" t="str">
        <f t="shared" si="6"/>
        <v>プロトコルコード-S3-ST1-P2</v>
      </c>
      <c r="AN11" t="str">
        <f t="shared" si="6"/>
        <v>SAP消費生産-S3-ST1-P2</v>
      </c>
      <c r="AO11" t="str">
        <f t="shared" si="6"/>
        <v>在庫受払対象-S3-ST1-P2</v>
      </c>
      <c r="AP11" t="str">
        <f t="shared" si="6"/>
        <v>SAP連携対象-S3-ST1-P2</v>
      </c>
      <c r="AQ11" t="str">
        <f t="shared" si="6"/>
        <v>備考-S3-ST1-P2</v>
      </c>
      <c r="AR11" t="str">
        <f t="shared" si="6"/>
        <v>確定値-S3-ST1-P2</v>
      </c>
      <c r="AS11" t="str">
        <f t="shared" si="6"/>
        <v>実績収集値-S3-ST1-P2</v>
      </c>
      <c r="AT11" t="str">
        <f t="shared" si="6"/>
        <v>実績確定値-S3-ST1-P2</v>
      </c>
      <c r="AU11" t="str">
        <f t="shared" si="6"/>
        <v>設定値変更者-S3-ST1-P2</v>
      </c>
      <c r="AV11" t="str">
        <f t="shared" si="6"/>
        <v>設定値変更日時-S3-ST1-P2</v>
      </c>
      <c r="AW11" t="str">
        <f t="shared" si="6"/>
        <v>実績値変更者-S3-ST1-P2</v>
      </c>
      <c r="AX11" t="str">
        <f t="shared" si="6"/>
        <v>実績値変更日時-S3-ST1-P2</v>
      </c>
      <c r="AY11" t="str">
        <f t="shared" si="6"/>
        <v>設定値確認者-S3-ST1-P2</v>
      </c>
      <c r="AZ11" t="str">
        <f t="shared" si="6"/>
        <v>設定値確認日時-S3-ST1-P2</v>
      </c>
      <c r="BA11" t="str">
        <f t="shared" si="6"/>
        <v>実績値確認者-S3-ST1-P2</v>
      </c>
      <c r="BB11" t="str">
        <f t="shared" si="6"/>
        <v>実績値確認日時-S3-ST1-P2</v>
      </c>
      <c r="BC11" t="str">
        <f t="shared" si="6"/>
        <v>実績品目コード-S3-ST1-P2</v>
      </c>
      <c r="BD11" t="str">
        <f t="shared" si="6"/>
        <v>実績品名-S3-ST1-P2</v>
      </c>
      <c r="BE11" t="str">
        <f t="shared" si="6"/>
        <v>実績ロット-S3-ST1-P2</v>
      </c>
      <c r="BF11" t="str">
        <f t="shared" si="6"/>
        <v>実績廃液排出時間-S3-ST1-P2</v>
      </c>
      <c r="BG11" t="str">
        <f t="shared" si="6"/>
        <v>実績サンプル採取時間-S3-ST1-P2</v>
      </c>
      <c r="BH11" t="str">
        <f t="shared" si="6"/>
        <v>MES検査予定番号-S3-ST1-P2</v>
      </c>
      <c r="BI11" t="str">
        <f t="shared" si="6"/>
        <v>実績サンプルコード-S3-ST1-P2</v>
      </c>
      <c r="BJ11" t="str">
        <f t="shared" si="6"/>
        <v>実績プロトコルコード-S3-ST1-P2</v>
      </c>
      <c r="BK11" t="str">
        <f t="shared" si="6"/>
        <v>Lab-Aid依頼番号-S3-ST1-P2</v>
      </c>
      <c r="BL11" t="str">
        <f t="shared" si="6"/>
        <v>Lab-Aid合否判定-S3-ST1-P2</v>
      </c>
      <c r="BM11" t="str">
        <f t="shared" si="6"/>
        <v>計量支援指図番号-S3-ST1-P2</v>
      </c>
      <c r="BN11" t="str">
        <f t="shared" si="6"/>
        <v>実績荷姿コード-S3-ST1-P2</v>
      </c>
      <c r="BO11" t="str">
        <f t="shared" si="6"/>
        <v>実績荷姿名-S3-ST1-P2</v>
      </c>
      <c r="BP11" t="str">
        <f t="shared" si="6"/>
        <v>実績荷姿数量-S3-ST1-P2</v>
      </c>
      <c r="BQ11" t="str">
        <f t="shared" si="6"/>
        <v>実績荷姿個数-S3-ST1-P2</v>
      </c>
      <c r="BR11" t="str">
        <f t="shared" si="5"/>
        <v>実績数量-S3-ST1-P2</v>
      </c>
      <c r="BS11" t="str">
        <f t="shared" si="5"/>
        <v>SAP簿外-S3-ST1-P2</v>
      </c>
      <c r="BT11" t="str">
        <f t="shared" si="5"/>
        <v>SAP転記日-S3-ST1-P2</v>
      </c>
      <c r="BU11" t="str">
        <f t="shared" si="5"/>
        <v>SAP連携済フラグ-S3-ST1-P2</v>
      </c>
    </row>
    <row r="12" spans="1:73" x14ac:dyDescent="0.15">
      <c r="A12" t="s">
        <v>195</v>
      </c>
      <c r="B12" t="str">
        <f t="shared" si="2"/>
        <v>処方ID-S3</v>
      </c>
      <c r="C12" t="str">
        <f t="shared" si="2"/>
        <v>処方バージョン-S3</v>
      </c>
      <c r="D12" t="s">
        <v>200</v>
      </c>
      <c r="E12" t="s">
        <v>201</v>
      </c>
      <c r="F12" t="str">
        <f t="shared" si="6"/>
        <v>パラメータ名称-S3-ST2-P1</v>
      </c>
      <c r="G12" t="str">
        <f t="shared" si="6"/>
        <v>設定値-S3-ST2-P1</v>
      </c>
      <c r="H12" t="str">
        <f t="shared" si="6"/>
        <v>工業単位-S3-ST2-P1</v>
      </c>
      <c r="I12" t="str">
        <f t="shared" si="6"/>
        <v>指図確定時確認-S3-ST2-P1</v>
      </c>
      <c r="J12" t="str">
        <f t="shared" si="6"/>
        <v>表示順-S3-ST2-P1</v>
      </c>
      <c r="K12" t="str">
        <f t="shared" si="6"/>
        <v>実績収集-S3-ST2-P1</v>
      </c>
      <c r="L12" t="str">
        <f t="shared" si="6"/>
        <v>小数点以下有効桁数-S3-ST2-P1</v>
      </c>
      <c r="M12" t="str">
        <f t="shared" si="6"/>
        <v>端数処理コード-S3-ST2-P1</v>
      </c>
      <c r="N12" t="str">
        <f t="shared" si="6"/>
        <v>パラメータ属性-S3-ST2-P1</v>
      </c>
      <c r="O12" t="str">
        <f t="shared" si="6"/>
        <v>ExapilotDL対象-S3-ST2-P1</v>
      </c>
      <c r="P12" t="str">
        <f t="shared" si="6"/>
        <v>パラメータ種別-S3-ST2-P1</v>
      </c>
      <c r="Q12" t="str">
        <f t="shared" si="6"/>
        <v>SAP構成品明細番号-S3-ST2-P1</v>
      </c>
      <c r="R12" t="str">
        <f t="shared" si="6"/>
        <v>品目コード-S3-ST2-P1</v>
      </c>
      <c r="S12" t="str">
        <f t="shared" si="6"/>
        <v>品名-S3-ST2-P1</v>
      </c>
      <c r="T12" t="str">
        <f t="shared" si="6"/>
        <v>原材料グレード-S3-ST2-P1</v>
      </c>
      <c r="U12" t="str">
        <f t="shared" si="6"/>
        <v>計量パターン-S3-ST2-P1</v>
      </c>
      <c r="V12" t="str">
        <f t="shared" si="6"/>
        <v>計量上限-S3-ST2-P1</v>
      </c>
      <c r="W12" t="str">
        <f t="shared" si="6"/>
        <v>計量下限-S3-ST2-P1</v>
      </c>
      <c r="X12" t="str">
        <f t="shared" si="6"/>
        <v>仕込パターン-S3-ST2-P1</v>
      </c>
      <c r="Y12" t="str">
        <f t="shared" si="6"/>
        <v>端切単位-S3-ST2-P1</v>
      </c>
      <c r="Z12" t="str">
        <f t="shared" si="6"/>
        <v>原材料投入口-S3-ST2-P1</v>
      </c>
      <c r="AA12" t="str">
        <f t="shared" si="6"/>
        <v>廃液排出予定時間-S3-ST2-P1</v>
      </c>
      <c r="AB12" t="str">
        <f t="shared" si="6"/>
        <v>廃液排出タンク-S3-ST2-P1</v>
      </c>
      <c r="AC12" t="str">
        <f t="shared" si="6"/>
        <v>充填パターン-S3-ST2-P1</v>
      </c>
      <c r="AD12" t="str">
        <f t="shared" si="6"/>
        <v>充填包装設備-S3-ST2-P1</v>
      </c>
      <c r="AE12" t="str">
        <f t="shared" si="6"/>
        <v>製品種別-S3-ST2-P1</v>
      </c>
      <c r="AF12" t="str">
        <f t="shared" si="6"/>
        <v>荷姿コード-S3-ST2-P1</v>
      </c>
      <c r="AG12" t="str">
        <f t="shared" si="6"/>
        <v>荷姿名称-S3-ST2-P1</v>
      </c>
      <c r="AH12" t="str">
        <f t="shared" si="6"/>
        <v>荷姿数量-S3-ST2-P1</v>
      </c>
      <c r="AI12" t="str">
        <f t="shared" si="6"/>
        <v>荷姿個数-S3-ST2-P1</v>
      </c>
      <c r="AJ12" t="str">
        <f t="shared" si="6"/>
        <v>数量-S3-ST2-P1</v>
      </c>
      <c r="AK12" t="str">
        <f t="shared" si="6"/>
        <v>サンプル採取予定時刻-S3-ST2-P1</v>
      </c>
      <c r="AL12" t="str">
        <f t="shared" si="6"/>
        <v>サンプルコード-S3-ST2-P1</v>
      </c>
      <c r="AM12" t="str">
        <f t="shared" si="6"/>
        <v>プロトコルコード-S3-ST2-P1</v>
      </c>
      <c r="AN12" t="str">
        <f t="shared" si="6"/>
        <v>SAP消費生産-S3-ST2-P1</v>
      </c>
      <c r="AO12" t="str">
        <f t="shared" si="6"/>
        <v>在庫受払対象-S3-ST2-P1</v>
      </c>
      <c r="AP12" t="str">
        <f t="shared" si="6"/>
        <v>SAP連携対象-S3-ST2-P1</v>
      </c>
      <c r="AQ12" t="str">
        <f t="shared" si="6"/>
        <v>備考-S3-ST2-P1</v>
      </c>
      <c r="AR12" t="str">
        <f t="shared" si="6"/>
        <v>確定値-S3-ST2-P1</v>
      </c>
      <c r="AS12" t="str">
        <f t="shared" si="6"/>
        <v>実績収集値-S3-ST2-P1</v>
      </c>
      <c r="AT12" t="str">
        <f t="shared" si="6"/>
        <v>実績確定値-S3-ST2-P1</v>
      </c>
      <c r="AU12" t="str">
        <f t="shared" si="6"/>
        <v>設定値変更者-S3-ST2-P1</v>
      </c>
      <c r="AV12" t="str">
        <f t="shared" si="6"/>
        <v>設定値変更日時-S3-ST2-P1</v>
      </c>
      <c r="AW12" t="str">
        <f t="shared" si="6"/>
        <v>実績値変更者-S3-ST2-P1</v>
      </c>
      <c r="AX12" t="str">
        <f t="shared" si="6"/>
        <v>実績値変更日時-S3-ST2-P1</v>
      </c>
      <c r="AY12" t="str">
        <f t="shared" si="6"/>
        <v>設定値確認者-S3-ST2-P1</v>
      </c>
      <c r="AZ12" t="str">
        <f t="shared" si="6"/>
        <v>設定値確認日時-S3-ST2-P1</v>
      </c>
      <c r="BA12" t="str">
        <f t="shared" si="6"/>
        <v>実績値確認者-S3-ST2-P1</v>
      </c>
      <c r="BB12" t="str">
        <f t="shared" si="6"/>
        <v>実績値確認日時-S3-ST2-P1</v>
      </c>
      <c r="BC12" t="str">
        <f t="shared" si="6"/>
        <v>実績品目コード-S3-ST2-P1</v>
      </c>
      <c r="BD12" t="str">
        <f t="shared" si="6"/>
        <v>実績品名-S3-ST2-P1</v>
      </c>
      <c r="BE12" t="str">
        <f t="shared" si="6"/>
        <v>実績ロット-S3-ST2-P1</v>
      </c>
      <c r="BF12" t="str">
        <f t="shared" si="6"/>
        <v>実績廃液排出時間-S3-ST2-P1</v>
      </c>
      <c r="BG12" t="str">
        <f t="shared" si="6"/>
        <v>実績サンプル採取時間-S3-ST2-P1</v>
      </c>
      <c r="BH12" t="str">
        <f t="shared" si="6"/>
        <v>MES検査予定番号-S3-ST2-P1</v>
      </c>
      <c r="BI12" t="str">
        <f t="shared" si="6"/>
        <v>実績サンプルコード-S3-ST2-P1</v>
      </c>
      <c r="BJ12" t="str">
        <f t="shared" si="6"/>
        <v>実績プロトコルコード-S3-ST2-P1</v>
      </c>
      <c r="BK12" t="str">
        <f t="shared" si="6"/>
        <v>Lab-Aid依頼番号-S3-ST2-P1</v>
      </c>
      <c r="BL12" t="str">
        <f t="shared" si="6"/>
        <v>Lab-Aid合否判定-S3-ST2-P1</v>
      </c>
      <c r="BM12" t="str">
        <f t="shared" si="6"/>
        <v>計量支援指図番号-S3-ST2-P1</v>
      </c>
      <c r="BN12" t="str">
        <f t="shared" si="6"/>
        <v>実績荷姿コード-S3-ST2-P1</v>
      </c>
      <c r="BO12" t="str">
        <f t="shared" si="6"/>
        <v>実績荷姿名-S3-ST2-P1</v>
      </c>
      <c r="BP12" t="str">
        <f t="shared" si="6"/>
        <v>実績荷姿数量-S3-ST2-P1</v>
      </c>
      <c r="BQ12" t="str">
        <f t="shared" si="6"/>
        <v>実績荷姿個数-S3-ST2-P1</v>
      </c>
      <c r="BR12" t="str">
        <f t="shared" si="5"/>
        <v>実績数量-S3-ST2-P1</v>
      </c>
      <c r="BS12" t="str">
        <f t="shared" si="5"/>
        <v>SAP簿外-S3-ST2-P1</v>
      </c>
      <c r="BT12" t="str">
        <f t="shared" si="5"/>
        <v>SAP転記日-S3-ST2-P1</v>
      </c>
      <c r="BU12" t="str">
        <f t="shared" si="5"/>
        <v>SAP連携済フラグ-S3-ST2-P1</v>
      </c>
    </row>
    <row r="13" spans="1:73" x14ac:dyDescent="0.15">
      <c r="A13" t="s">
        <v>195</v>
      </c>
      <c r="B13" t="str">
        <f t="shared" si="2"/>
        <v>処方ID-S3</v>
      </c>
      <c r="C13" t="str">
        <f t="shared" si="2"/>
        <v>処方バージョン-S3</v>
      </c>
      <c r="D13" t="s">
        <v>200</v>
      </c>
      <c r="E13" t="s">
        <v>202</v>
      </c>
      <c r="F13" t="str">
        <f t="shared" si="6"/>
        <v>パラメータ名称-S3-ST2-P2</v>
      </c>
      <c r="G13" t="str">
        <f t="shared" si="6"/>
        <v>設定値-S3-ST2-P2</v>
      </c>
      <c r="H13" t="str">
        <f t="shared" si="6"/>
        <v>工業単位-S3-ST2-P2</v>
      </c>
      <c r="I13" t="str">
        <f t="shared" si="6"/>
        <v>指図確定時確認-S3-ST2-P2</v>
      </c>
      <c r="J13" t="str">
        <f t="shared" si="6"/>
        <v>表示順-S3-ST2-P2</v>
      </c>
      <c r="K13" t="str">
        <f t="shared" si="6"/>
        <v>実績収集-S3-ST2-P2</v>
      </c>
      <c r="L13" t="str">
        <f t="shared" si="6"/>
        <v>小数点以下有効桁数-S3-ST2-P2</v>
      </c>
      <c r="M13" t="str">
        <f t="shared" si="6"/>
        <v>端数処理コード-S3-ST2-P2</v>
      </c>
      <c r="N13" t="str">
        <f t="shared" si="6"/>
        <v>パラメータ属性-S3-ST2-P2</v>
      </c>
      <c r="O13" t="str">
        <f t="shared" si="6"/>
        <v>ExapilotDL対象-S3-ST2-P2</v>
      </c>
      <c r="P13" t="str">
        <f t="shared" si="6"/>
        <v>パラメータ種別-S3-ST2-P2</v>
      </c>
      <c r="Q13" t="str">
        <f t="shared" si="6"/>
        <v>SAP構成品明細番号-S3-ST2-P2</v>
      </c>
      <c r="R13" t="str">
        <f t="shared" si="6"/>
        <v>品目コード-S3-ST2-P2</v>
      </c>
      <c r="S13" t="str">
        <f t="shared" si="6"/>
        <v>品名-S3-ST2-P2</v>
      </c>
      <c r="T13" t="str">
        <f t="shared" si="6"/>
        <v>原材料グレード-S3-ST2-P2</v>
      </c>
      <c r="U13" t="str">
        <f t="shared" si="6"/>
        <v>計量パターン-S3-ST2-P2</v>
      </c>
      <c r="V13" t="str">
        <f t="shared" si="6"/>
        <v>計量上限-S3-ST2-P2</v>
      </c>
      <c r="W13" t="str">
        <f t="shared" si="6"/>
        <v>計量下限-S3-ST2-P2</v>
      </c>
      <c r="X13" t="str">
        <f t="shared" si="6"/>
        <v>仕込パターン-S3-ST2-P2</v>
      </c>
      <c r="Y13" t="str">
        <f t="shared" si="6"/>
        <v>端切単位-S3-ST2-P2</v>
      </c>
      <c r="Z13" t="str">
        <f t="shared" si="6"/>
        <v>原材料投入口-S3-ST2-P2</v>
      </c>
      <c r="AA13" t="str">
        <f t="shared" si="6"/>
        <v>廃液排出予定時間-S3-ST2-P2</v>
      </c>
      <c r="AB13" t="str">
        <f t="shared" si="6"/>
        <v>廃液排出タンク-S3-ST2-P2</v>
      </c>
      <c r="AC13" t="str">
        <f t="shared" si="6"/>
        <v>充填パターン-S3-ST2-P2</v>
      </c>
      <c r="AD13" t="str">
        <f t="shared" si="6"/>
        <v>充填包装設備-S3-ST2-P2</v>
      </c>
      <c r="AE13" t="str">
        <f t="shared" si="6"/>
        <v>製品種別-S3-ST2-P2</v>
      </c>
      <c r="AF13" t="str">
        <f t="shared" si="6"/>
        <v>荷姿コード-S3-ST2-P2</v>
      </c>
      <c r="AG13" t="str">
        <f t="shared" si="6"/>
        <v>荷姿名称-S3-ST2-P2</v>
      </c>
      <c r="AH13" t="str">
        <f t="shared" si="6"/>
        <v>荷姿数量-S3-ST2-P2</v>
      </c>
      <c r="AI13" t="str">
        <f t="shared" si="6"/>
        <v>荷姿個数-S3-ST2-P2</v>
      </c>
      <c r="AJ13" t="str">
        <f t="shared" si="6"/>
        <v>数量-S3-ST2-P2</v>
      </c>
      <c r="AK13" t="str">
        <f t="shared" si="6"/>
        <v>サンプル採取予定時刻-S3-ST2-P2</v>
      </c>
      <c r="AL13" t="str">
        <f t="shared" si="6"/>
        <v>サンプルコード-S3-ST2-P2</v>
      </c>
      <c r="AM13" t="str">
        <f t="shared" si="6"/>
        <v>プロトコルコード-S3-ST2-P2</v>
      </c>
      <c r="AN13" t="str">
        <f t="shared" si="6"/>
        <v>SAP消費生産-S3-ST2-P2</v>
      </c>
      <c r="AO13" t="str">
        <f t="shared" si="6"/>
        <v>在庫受払対象-S3-ST2-P2</v>
      </c>
      <c r="AP13" t="str">
        <f t="shared" si="6"/>
        <v>SAP連携対象-S3-ST2-P2</v>
      </c>
      <c r="AQ13" t="str">
        <f t="shared" si="6"/>
        <v>備考-S3-ST2-P2</v>
      </c>
      <c r="AR13" t="str">
        <f t="shared" si="6"/>
        <v>確定値-S3-ST2-P2</v>
      </c>
      <c r="AS13" t="str">
        <f t="shared" si="6"/>
        <v>実績収集値-S3-ST2-P2</v>
      </c>
      <c r="AT13" t="str">
        <f t="shared" si="6"/>
        <v>実績確定値-S3-ST2-P2</v>
      </c>
      <c r="AU13" t="str">
        <f t="shared" si="6"/>
        <v>設定値変更者-S3-ST2-P2</v>
      </c>
      <c r="AV13" t="str">
        <f t="shared" si="6"/>
        <v>設定値変更日時-S3-ST2-P2</v>
      </c>
      <c r="AW13" t="str">
        <f t="shared" si="6"/>
        <v>実績値変更者-S3-ST2-P2</v>
      </c>
      <c r="AX13" t="str">
        <f t="shared" si="6"/>
        <v>実績値変更日時-S3-ST2-P2</v>
      </c>
      <c r="AY13" t="str">
        <f t="shared" si="6"/>
        <v>設定値確認者-S3-ST2-P2</v>
      </c>
      <c r="AZ13" t="str">
        <f t="shared" si="6"/>
        <v>設定値確認日時-S3-ST2-P2</v>
      </c>
      <c r="BA13" t="str">
        <f t="shared" si="6"/>
        <v>実績値確認者-S3-ST2-P2</v>
      </c>
      <c r="BB13" t="str">
        <f t="shared" si="6"/>
        <v>実績値確認日時-S3-ST2-P2</v>
      </c>
      <c r="BC13" t="str">
        <f t="shared" si="6"/>
        <v>実績品目コード-S3-ST2-P2</v>
      </c>
      <c r="BD13" t="str">
        <f t="shared" si="6"/>
        <v>実績品名-S3-ST2-P2</v>
      </c>
      <c r="BE13" t="str">
        <f t="shared" si="6"/>
        <v>実績ロット-S3-ST2-P2</v>
      </c>
      <c r="BF13" t="str">
        <f t="shared" si="6"/>
        <v>実績廃液排出時間-S3-ST2-P2</v>
      </c>
      <c r="BG13" t="str">
        <f t="shared" si="6"/>
        <v>実績サンプル採取時間-S3-ST2-P2</v>
      </c>
      <c r="BH13" t="str">
        <f t="shared" si="6"/>
        <v>MES検査予定番号-S3-ST2-P2</v>
      </c>
      <c r="BI13" t="str">
        <f t="shared" si="6"/>
        <v>実績サンプルコード-S3-ST2-P2</v>
      </c>
      <c r="BJ13" t="str">
        <f t="shared" si="6"/>
        <v>実績プロトコルコード-S3-ST2-P2</v>
      </c>
      <c r="BK13" t="str">
        <f t="shared" si="6"/>
        <v>Lab-Aid依頼番号-S3-ST2-P2</v>
      </c>
      <c r="BL13" t="str">
        <f t="shared" si="6"/>
        <v>Lab-Aid合否判定-S3-ST2-P2</v>
      </c>
      <c r="BM13" t="str">
        <f t="shared" si="6"/>
        <v>計量支援指図番号-S3-ST2-P2</v>
      </c>
      <c r="BN13" t="str">
        <f t="shared" si="6"/>
        <v>実績荷姿コード-S3-ST2-P2</v>
      </c>
      <c r="BO13" t="str">
        <f t="shared" si="6"/>
        <v>実績荷姿名-S3-ST2-P2</v>
      </c>
      <c r="BP13" t="str">
        <f t="shared" si="6"/>
        <v>実績荷姿数量-S3-ST2-P2</v>
      </c>
      <c r="BQ13" t="str">
        <f t="shared" ref="BQ13:BU13" si="7">BQ$1&amp;"-"&amp;$A13&amp;"-"&amp;$D13&amp;"-"&amp;$E13</f>
        <v>実績荷姿個数-S3-ST2-P2</v>
      </c>
      <c r="BR13" t="str">
        <f t="shared" si="7"/>
        <v>実績数量-S3-ST2-P2</v>
      </c>
      <c r="BS13" t="str">
        <f t="shared" si="7"/>
        <v>SAP簿外-S3-ST2-P2</v>
      </c>
      <c r="BT13" t="str">
        <f t="shared" si="7"/>
        <v>SAP転記日-S3-ST2-P2</v>
      </c>
      <c r="BU13" t="str">
        <f t="shared" si="7"/>
        <v>SAP連携済フラグ-S3-ST2-P2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13"/>
  <sheetViews>
    <sheetView zoomScale="80" zoomScaleNormal="80" workbookViewId="0"/>
  </sheetViews>
  <sheetFormatPr defaultRowHeight="13.5" x14ac:dyDescent="0.15"/>
  <cols>
    <col min="1" max="1" width="13.625" bestFit="1" customWidth="1"/>
    <col min="2" max="2" width="10.25" bestFit="1" customWidth="1"/>
    <col min="3" max="3" width="18" bestFit="1" customWidth="1"/>
    <col min="4" max="4" width="10.125" bestFit="1" customWidth="1"/>
    <col min="5" max="5" width="12" bestFit="1" customWidth="1"/>
    <col min="6" max="31" width="3.625" customWidth="1"/>
  </cols>
  <sheetData>
    <row r="1" spans="1:31" x14ac:dyDescent="0.15">
      <c r="A1" s="3" t="s">
        <v>0</v>
      </c>
      <c r="B1" s="1" t="s">
        <v>17</v>
      </c>
      <c r="C1" s="1" t="s">
        <v>18</v>
      </c>
      <c r="D1" s="3" t="s">
        <v>78</v>
      </c>
      <c r="E1" s="3" t="s">
        <v>95</v>
      </c>
      <c r="F1" s="1" t="s">
        <v>96</v>
      </c>
      <c r="G1" s="1" t="s">
        <v>97</v>
      </c>
      <c r="H1" s="1" t="s">
        <v>98</v>
      </c>
      <c r="I1" s="1" t="s">
        <v>99</v>
      </c>
      <c r="J1" s="1" t="s">
        <v>20</v>
      </c>
      <c r="K1" s="1" t="s">
        <v>100</v>
      </c>
      <c r="L1" s="1" t="s">
        <v>25</v>
      </c>
      <c r="M1" s="1" t="s">
        <v>26</v>
      </c>
      <c r="N1" s="1" t="s">
        <v>101</v>
      </c>
      <c r="O1" s="1" t="s">
        <v>102</v>
      </c>
      <c r="P1" s="1" t="s">
        <v>103</v>
      </c>
      <c r="Q1" s="1" t="s">
        <v>156</v>
      </c>
      <c r="R1" s="1" t="s">
        <v>32</v>
      </c>
      <c r="S1" s="1" t="s">
        <v>126</v>
      </c>
      <c r="T1" s="1" t="s">
        <v>127</v>
      </c>
      <c r="U1" s="1" t="s">
        <v>128</v>
      </c>
      <c r="V1" s="1" t="s">
        <v>129</v>
      </c>
      <c r="W1" s="1" t="s">
        <v>130</v>
      </c>
      <c r="X1" s="1" t="s">
        <v>131</v>
      </c>
      <c r="Y1" s="1" t="s">
        <v>132</v>
      </c>
      <c r="Z1" s="1" t="s">
        <v>133</v>
      </c>
      <c r="AA1" s="1" t="s">
        <v>134</v>
      </c>
      <c r="AB1" s="1" t="s">
        <v>135</v>
      </c>
      <c r="AC1" s="1" t="s">
        <v>136</v>
      </c>
      <c r="AD1" s="1" t="s">
        <v>154</v>
      </c>
      <c r="AE1" s="1" t="s">
        <v>155</v>
      </c>
    </row>
    <row r="2" spans="1:31" x14ac:dyDescent="0.15">
      <c r="A2" t="s">
        <v>193</v>
      </c>
      <c r="B2" t="str">
        <f t="shared" ref="B2:C13" si="0">B$1&amp;"-"&amp;$A2</f>
        <v>処方ID-S1</v>
      </c>
      <c r="C2" t="str">
        <f t="shared" si="0"/>
        <v>処方バージョン-S1</v>
      </c>
      <c r="D2" t="s">
        <v>198</v>
      </c>
      <c r="E2" t="s">
        <v>201</v>
      </c>
      <c r="F2" t="str">
        <f t="shared" ref="F2:U13" si="1">F$1&amp;"-"&amp;$A2&amp;"-"&amp;$D2&amp;"-"&amp;$E2</f>
        <v>パラメータ名称-S1-ST1-P1</v>
      </c>
      <c r="G2" t="str">
        <f t="shared" si="1"/>
        <v>設定値-S1-ST1-P1</v>
      </c>
      <c r="H2" t="str">
        <f t="shared" si="1"/>
        <v>工業単位-S1-ST1-P1</v>
      </c>
      <c r="I2" t="str">
        <f t="shared" si="1"/>
        <v>指図確定時確認-S1-ST1-P1</v>
      </c>
      <c r="J2" t="str">
        <f t="shared" si="1"/>
        <v>表示順-S1-ST1-P1</v>
      </c>
      <c r="K2" t="str">
        <f t="shared" si="1"/>
        <v>実績収集-S1-ST1-P1</v>
      </c>
      <c r="L2" t="str">
        <f t="shared" si="1"/>
        <v>小数点以下有効桁数-S1-ST1-P1</v>
      </c>
      <c r="M2" t="str">
        <f t="shared" si="1"/>
        <v>端数処理コード-S1-ST1-P1</v>
      </c>
      <c r="N2" t="str">
        <f t="shared" si="1"/>
        <v>パラメータ属性-S1-ST1-P1</v>
      </c>
      <c r="O2" t="str">
        <f t="shared" si="1"/>
        <v>ExapilotDL対象-S1-ST1-P1</v>
      </c>
      <c r="P2" t="str">
        <f t="shared" si="1"/>
        <v>パラメータ種別-S1-ST1-P1</v>
      </c>
      <c r="Q2" t="str">
        <f t="shared" si="1"/>
        <v>SAP作業番号-S1-ST1-P1</v>
      </c>
      <c r="R2" t="str">
        <f t="shared" si="1"/>
        <v>備考-S1-ST1-P1</v>
      </c>
      <c r="S2" t="str">
        <f t="shared" si="1"/>
        <v>確定値-S1-ST1-P1</v>
      </c>
      <c r="T2" t="str">
        <f t="shared" si="1"/>
        <v>実績収集値-S1-ST1-P1</v>
      </c>
      <c r="U2" t="str">
        <f t="shared" si="1"/>
        <v>実績確定値-S1-ST1-P1</v>
      </c>
      <c r="V2" t="str">
        <f t="shared" ref="V2:AE13" si="2">V$1&amp;"-"&amp;$A2&amp;"-"&amp;$D2&amp;"-"&amp;$E2</f>
        <v>設定値変更者-S1-ST1-P1</v>
      </c>
      <c r="W2" t="str">
        <f t="shared" si="2"/>
        <v>設定値変更日時-S1-ST1-P1</v>
      </c>
      <c r="X2" t="str">
        <f t="shared" si="2"/>
        <v>実績値変更者-S1-ST1-P1</v>
      </c>
      <c r="Y2" t="str">
        <f t="shared" si="2"/>
        <v>実績値変更日時-S1-ST1-P1</v>
      </c>
      <c r="Z2" t="str">
        <f t="shared" si="2"/>
        <v>設定値確認者-S1-ST1-P1</v>
      </c>
      <c r="AA2" t="str">
        <f t="shared" si="2"/>
        <v>設定値確認日時-S1-ST1-P1</v>
      </c>
      <c r="AB2" t="str">
        <f t="shared" si="2"/>
        <v>実績値確認者-S1-ST1-P1</v>
      </c>
      <c r="AC2" t="str">
        <f t="shared" si="2"/>
        <v>実績値確認日時-S1-ST1-P1</v>
      </c>
      <c r="AD2" t="str">
        <f t="shared" si="2"/>
        <v>SAP転記日-S1-ST1-P1</v>
      </c>
      <c r="AE2" t="str">
        <f t="shared" si="2"/>
        <v>SAP連携済フラグ-S1-ST1-P1</v>
      </c>
    </row>
    <row r="3" spans="1:31" x14ac:dyDescent="0.15">
      <c r="A3" t="s">
        <v>193</v>
      </c>
      <c r="B3" t="str">
        <f t="shared" si="0"/>
        <v>処方ID-S1</v>
      </c>
      <c r="C3" t="str">
        <f t="shared" si="0"/>
        <v>処方バージョン-S1</v>
      </c>
      <c r="D3" t="s">
        <v>198</v>
      </c>
      <c r="E3" t="s">
        <v>202</v>
      </c>
      <c r="F3" t="str">
        <f t="shared" si="1"/>
        <v>パラメータ名称-S1-ST1-P2</v>
      </c>
      <c r="G3" t="str">
        <f t="shared" si="1"/>
        <v>設定値-S1-ST1-P2</v>
      </c>
      <c r="H3" t="str">
        <f t="shared" si="1"/>
        <v>工業単位-S1-ST1-P2</v>
      </c>
      <c r="I3" t="str">
        <f t="shared" si="1"/>
        <v>指図確定時確認-S1-ST1-P2</v>
      </c>
      <c r="J3" t="str">
        <f t="shared" si="1"/>
        <v>表示順-S1-ST1-P2</v>
      </c>
      <c r="K3" t="str">
        <f t="shared" si="1"/>
        <v>実績収集-S1-ST1-P2</v>
      </c>
      <c r="L3" t="str">
        <f t="shared" si="1"/>
        <v>小数点以下有効桁数-S1-ST1-P2</v>
      </c>
      <c r="M3" t="str">
        <f t="shared" si="1"/>
        <v>端数処理コード-S1-ST1-P2</v>
      </c>
      <c r="N3" t="str">
        <f t="shared" si="1"/>
        <v>パラメータ属性-S1-ST1-P2</v>
      </c>
      <c r="O3" t="str">
        <f t="shared" si="1"/>
        <v>ExapilotDL対象-S1-ST1-P2</v>
      </c>
      <c r="P3" t="str">
        <f t="shared" si="1"/>
        <v>パラメータ種別-S1-ST1-P2</v>
      </c>
      <c r="Q3" t="str">
        <f t="shared" si="1"/>
        <v>SAP作業番号-S1-ST1-P2</v>
      </c>
      <c r="R3" t="str">
        <f t="shared" si="1"/>
        <v>備考-S1-ST1-P2</v>
      </c>
      <c r="S3" t="str">
        <f t="shared" si="1"/>
        <v>確定値-S1-ST1-P2</v>
      </c>
      <c r="T3" t="str">
        <f t="shared" si="1"/>
        <v>実績収集値-S1-ST1-P2</v>
      </c>
      <c r="U3" t="str">
        <f t="shared" si="1"/>
        <v>実績確定値-S1-ST1-P2</v>
      </c>
      <c r="V3" t="str">
        <f t="shared" si="2"/>
        <v>設定値変更者-S1-ST1-P2</v>
      </c>
      <c r="W3" t="str">
        <f t="shared" si="2"/>
        <v>設定値変更日時-S1-ST1-P2</v>
      </c>
      <c r="X3" t="str">
        <f t="shared" si="2"/>
        <v>実績値変更者-S1-ST1-P2</v>
      </c>
      <c r="Y3" t="str">
        <f t="shared" si="2"/>
        <v>実績値変更日時-S1-ST1-P2</v>
      </c>
      <c r="Z3" t="str">
        <f t="shared" si="2"/>
        <v>設定値確認者-S1-ST1-P2</v>
      </c>
      <c r="AA3" t="str">
        <f t="shared" si="2"/>
        <v>設定値確認日時-S1-ST1-P2</v>
      </c>
      <c r="AB3" t="str">
        <f t="shared" si="2"/>
        <v>実績値確認者-S1-ST1-P2</v>
      </c>
      <c r="AC3" t="str">
        <f t="shared" si="2"/>
        <v>実績値確認日時-S1-ST1-P2</v>
      </c>
      <c r="AD3" t="str">
        <f t="shared" si="2"/>
        <v>SAP転記日-S1-ST1-P2</v>
      </c>
      <c r="AE3" t="str">
        <f t="shared" si="2"/>
        <v>SAP連携済フラグ-S1-ST1-P2</v>
      </c>
    </row>
    <row r="4" spans="1:31" x14ac:dyDescent="0.15">
      <c r="A4" t="s">
        <v>193</v>
      </c>
      <c r="B4" t="str">
        <f t="shared" si="0"/>
        <v>処方ID-S1</v>
      </c>
      <c r="C4" t="str">
        <f t="shared" si="0"/>
        <v>処方バージョン-S1</v>
      </c>
      <c r="D4" t="s">
        <v>200</v>
      </c>
      <c r="E4" t="s">
        <v>201</v>
      </c>
      <c r="F4" t="str">
        <f t="shared" si="1"/>
        <v>パラメータ名称-S1-ST2-P1</v>
      </c>
      <c r="G4" t="str">
        <f t="shared" si="1"/>
        <v>設定値-S1-ST2-P1</v>
      </c>
      <c r="H4" t="str">
        <f t="shared" si="1"/>
        <v>工業単位-S1-ST2-P1</v>
      </c>
      <c r="I4" t="str">
        <f t="shared" si="1"/>
        <v>指図確定時確認-S1-ST2-P1</v>
      </c>
      <c r="J4" t="str">
        <f t="shared" si="1"/>
        <v>表示順-S1-ST2-P1</v>
      </c>
      <c r="K4" t="str">
        <f t="shared" si="1"/>
        <v>実績収集-S1-ST2-P1</v>
      </c>
      <c r="L4" t="str">
        <f t="shared" si="1"/>
        <v>小数点以下有効桁数-S1-ST2-P1</v>
      </c>
      <c r="M4" t="str">
        <f t="shared" si="1"/>
        <v>端数処理コード-S1-ST2-P1</v>
      </c>
      <c r="N4" t="str">
        <f t="shared" si="1"/>
        <v>パラメータ属性-S1-ST2-P1</v>
      </c>
      <c r="O4" t="str">
        <f t="shared" si="1"/>
        <v>ExapilotDL対象-S1-ST2-P1</v>
      </c>
      <c r="P4" t="str">
        <f t="shared" si="1"/>
        <v>パラメータ種別-S1-ST2-P1</v>
      </c>
      <c r="Q4" t="str">
        <f t="shared" si="1"/>
        <v>SAP作業番号-S1-ST2-P1</v>
      </c>
      <c r="R4" t="str">
        <f t="shared" si="1"/>
        <v>備考-S1-ST2-P1</v>
      </c>
      <c r="S4" t="str">
        <f t="shared" si="1"/>
        <v>確定値-S1-ST2-P1</v>
      </c>
      <c r="T4" t="str">
        <f t="shared" si="1"/>
        <v>実績収集値-S1-ST2-P1</v>
      </c>
      <c r="U4" t="str">
        <f t="shared" si="1"/>
        <v>実績確定値-S1-ST2-P1</v>
      </c>
      <c r="V4" t="str">
        <f t="shared" si="2"/>
        <v>設定値変更者-S1-ST2-P1</v>
      </c>
      <c r="W4" t="str">
        <f t="shared" si="2"/>
        <v>設定値変更日時-S1-ST2-P1</v>
      </c>
      <c r="X4" t="str">
        <f t="shared" si="2"/>
        <v>実績値変更者-S1-ST2-P1</v>
      </c>
      <c r="Y4" t="str">
        <f t="shared" si="2"/>
        <v>実績値変更日時-S1-ST2-P1</v>
      </c>
      <c r="Z4" t="str">
        <f t="shared" si="2"/>
        <v>設定値確認者-S1-ST2-P1</v>
      </c>
      <c r="AA4" t="str">
        <f t="shared" si="2"/>
        <v>設定値確認日時-S1-ST2-P1</v>
      </c>
      <c r="AB4" t="str">
        <f t="shared" si="2"/>
        <v>実績値確認者-S1-ST2-P1</v>
      </c>
      <c r="AC4" t="str">
        <f t="shared" si="2"/>
        <v>実績値確認日時-S1-ST2-P1</v>
      </c>
      <c r="AD4" t="str">
        <f t="shared" si="2"/>
        <v>SAP転記日-S1-ST2-P1</v>
      </c>
      <c r="AE4" t="str">
        <f t="shared" si="2"/>
        <v>SAP連携済フラグ-S1-ST2-P1</v>
      </c>
    </row>
    <row r="5" spans="1:31" x14ac:dyDescent="0.15">
      <c r="A5" t="s">
        <v>193</v>
      </c>
      <c r="B5" t="str">
        <f t="shared" si="0"/>
        <v>処方ID-S1</v>
      </c>
      <c r="C5" t="str">
        <f t="shared" si="0"/>
        <v>処方バージョン-S1</v>
      </c>
      <c r="D5" t="s">
        <v>200</v>
      </c>
      <c r="E5" t="s">
        <v>202</v>
      </c>
      <c r="F5" t="str">
        <f t="shared" si="1"/>
        <v>パラメータ名称-S1-ST2-P2</v>
      </c>
      <c r="G5" t="str">
        <f t="shared" si="1"/>
        <v>設定値-S1-ST2-P2</v>
      </c>
      <c r="H5" t="str">
        <f t="shared" si="1"/>
        <v>工業単位-S1-ST2-P2</v>
      </c>
      <c r="I5" t="str">
        <f t="shared" si="1"/>
        <v>指図確定時確認-S1-ST2-P2</v>
      </c>
      <c r="J5" t="str">
        <f t="shared" si="1"/>
        <v>表示順-S1-ST2-P2</v>
      </c>
      <c r="K5" t="str">
        <f t="shared" si="1"/>
        <v>実績収集-S1-ST2-P2</v>
      </c>
      <c r="L5" t="str">
        <f t="shared" si="1"/>
        <v>小数点以下有効桁数-S1-ST2-P2</v>
      </c>
      <c r="M5" t="str">
        <f t="shared" si="1"/>
        <v>端数処理コード-S1-ST2-P2</v>
      </c>
      <c r="N5" t="str">
        <f t="shared" si="1"/>
        <v>パラメータ属性-S1-ST2-P2</v>
      </c>
      <c r="O5" t="str">
        <f t="shared" si="1"/>
        <v>ExapilotDL対象-S1-ST2-P2</v>
      </c>
      <c r="P5" t="str">
        <f t="shared" si="1"/>
        <v>パラメータ種別-S1-ST2-P2</v>
      </c>
      <c r="Q5" t="str">
        <f t="shared" si="1"/>
        <v>SAP作業番号-S1-ST2-P2</v>
      </c>
      <c r="R5" t="str">
        <f t="shared" si="1"/>
        <v>備考-S1-ST2-P2</v>
      </c>
      <c r="S5" t="str">
        <f t="shared" si="1"/>
        <v>確定値-S1-ST2-P2</v>
      </c>
      <c r="T5" t="str">
        <f t="shared" si="1"/>
        <v>実績収集値-S1-ST2-P2</v>
      </c>
      <c r="U5" t="str">
        <f t="shared" si="1"/>
        <v>実績確定値-S1-ST2-P2</v>
      </c>
      <c r="V5" t="str">
        <f t="shared" si="2"/>
        <v>設定値変更者-S1-ST2-P2</v>
      </c>
      <c r="W5" t="str">
        <f t="shared" si="2"/>
        <v>設定値変更日時-S1-ST2-P2</v>
      </c>
      <c r="X5" t="str">
        <f t="shared" si="2"/>
        <v>実績値変更者-S1-ST2-P2</v>
      </c>
      <c r="Y5" t="str">
        <f t="shared" si="2"/>
        <v>実績値変更日時-S1-ST2-P2</v>
      </c>
      <c r="Z5" t="str">
        <f t="shared" si="2"/>
        <v>設定値確認者-S1-ST2-P2</v>
      </c>
      <c r="AA5" t="str">
        <f t="shared" si="2"/>
        <v>設定値確認日時-S1-ST2-P2</v>
      </c>
      <c r="AB5" t="str">
        <f t="shared" si="2"/>
        <v>実績値確認者-S1-ST2-P2</v>
      </c>
      <c r="AC5" t="str">
        <f t="shared" si="2"/>
        <v>実績値確認日時-S1-ST2-P2</v>
      </c>
      <c r="AD5" t="str">
        <f t="shared" si="2"/>
        <v>SAP転記日-S1-ST2-P2</v>
      </c>
      <c r="AE5" t="str">
        <f t="shared" si="2"/>
        <v>SAP連携済フラグ-S1-ST2-P2</v>
      </c>
    </row>
    <row r="6" spans="1:31" x14ac:dyDescent="0.15">
      <c r="A6" t="s">
        <v>194</v>
      </c>
      <c r="B6" t="str">
        <f t="shared" si="0"/>
        <v>処方ID-S2</v>
      </c>
      <c r="C6" t="str">
        <f t="shared" si="0"/>
        <v>処方バージョン-S2</v>
      </c>
      <c r="D6" t="s">
        <v>198</v>
      </c>
      <c r="E6" t="s">
        <v>201</v>
      </c>
      <c r="F6" t="str">
        <f t="shared" si="1"/>
        <v>パラメータ名称-S2-ST1-P1</v>
      </c>
      <c r="G6" t="str">
        <f t="shared" si="1"/>
        <v>設定値-S2-ST1-P1</v>
      </c>
      <c r="H6" t="str">
        <f t="shared" si="1"/>
        <v>工業単位-S2-ST1-P1</v>
      </c>
      <c r="I6" t="str">
        <f t="shared" si="1"/>
        <v>指図確定時確認-S2-ST1-P1</v>
      </c>
      <c r="J6" t="str">
        <f t="shared" si="1"/>
        <v>表示順-S2-ST1-P1</v>
      </c>
      <c r="K6" t="str">
        <f t="shared" si="1"/>
        <v>実績収集-S2-ST1-P1</v>
      </c>
      <c r="L6" t="str">
        <f t="shared" si="1"/>
        <v>小数点以下有効桁数-S2-ST1-P1</v>
      </c>
      <c r="M6" t="str">
        <f t="shared" si="1"/>
        <v>端数処理コード-S2-ST1-P1</v>
      </c>
      <c r="N6" t="str">
        <f t="shared" si="1"/>
        <v>パラメータ属性-S2-ST1-P1</v>
      </c>
      <c r="O6" t="str">
        <f t="shared" si="1"/>
        <v>ExapilotDL対象-S2-ST1-P1</v>
      </c>
      <c r="P6" t="str">
        <f t="shared" si="1"/>
        <v>パラメータ種別-S2-ST1-P1</v>
      </c>
      <c r="Q6" t="str">
        <f t="shared" si="1"/>
        <v>SAP作業番号-S2-ST1-P1</v>
      </c>
      <c r="R6" t="str">
        <f t="shared" si="1"/>
        <v>備考-S2-ST1-P1</v>
      </c>
      <c r="S6" t="str">
        <f t="shared" si="1"/>
        <v>確定値-S2-ST1-P1</v>
      </c>
      <c r="T6" t="str">
        <f t="shared" si="1"/>
        <v>実績収集値-S2-ST1-P1</v>
      </c>
      <c r="U6" t="str">
        <f t="shared" si="1"/>
        <v>実績確定値-S2-ST1-P1</v>
      </c>
      <c r="V6" t="str">
        <f t="shared" si="2"/>
        <v>設定値変更者-S2-ST1-P1</v>
      </c>
      <c r="W6" t="str">
        <f t="shared" si="2"/>
        <v>設定値変更日時-S2-ST1-P1</v>
      </c>
      <c r="X6" t="str">
        <f t="shared" si="2"/>
        <v>実績値変更者-S2-ST1-P1</v>
      </c>
      <c r="Y6" t="str">
        <f t="shared" si="2"/>
        <v>実績値変更日時-S2-ST1-P1</v>
      </c>
      <c r="Z6" t="str">
        <f t="shared" si="2"/>
        <v>設定値確認者-S2-ST1-P1</v>
      </c>
      <c r="AA6" t="str">
        <f t="shared" si="2"/>
        <v>設定値確認日時-S2-ST1-P1</v>
      </c>
      <c r="AB6" t="str">
        <f t="shared" si="2"/>
        <v>実績値確認者-S2-ST1-P1</v>
      </c>
      <c r="AC6" t="str">
        <f t="shared" si="2"/>
        <v>実績値確認日時-S2-ST1-P1</v>
      </c>
      <c r="AD6" t="str">
        <f t="shared" si="2"/>
        <v>SAP転記日-S2-ST1-P1</v>
      </c>
      <c r="AE6" t="str">
        <f t="shared" si="2"/>
        <v>SAP連携済フラグ-S2-ST1-P1</v>
      </c>
    </row>
    <row r="7" spans="1:31" x14ac:dyDescent="0.15">
      <c r="A7" t="s">
        <v>194</v>
      </c>
      <c r="B7" t="str">
        <f t="shared" si="0"/>
        <v>処方ID-S2</v>
      </c>
      <c r="C7" t="str">
        <f t="shared" si="0"/>
        <v>処方バージョン-S2</v>
      </c>
      <c r="D7" t="s">
        <v>198</v>
      </c>
      <c r="E7" t="s">
        <v>202</v>
      </c>
      <c r="F7" t="str">
        <f t="shared" si="1"/>
        <v>パラメータ名称-S2-ST1-P2</v>
      </c>
      <c r="G7" t="str">
        <f t="shared" si="1"/>
        <v>設定値-S2-ST1-P2</v>
      </c>
      <c r="H7" t="str">
        <f t="shared" si="1"/>
        <v>工業単位-S2-ST1-P2</v>
      </c>
      <c r="I7" t="str">
        <f t="shared" si="1"/>
        <v>指図確定時確認-S2-ST1-P2</v>
      </c>
      <c r="J7" t="str">
        <f t="shared" si="1"/>
        <v>表示順-S2-ST1-P2</v>
      </c>
      <c r="K7" t="str">
        <f t="shared" si="1"/>
        <v>実績収集-S2-ST1-P2</v>
      </c>
      <c r="L7" t="str">
        <f t="shared" si="1"/>
        <v>小数点以下有効桁数-S2-ST1-P2</v>
      </c>
      <c r="M7" t="str">
        <f t="shared" si="1"/>
        <v>端数処理コード-S2-ST1-P2</v>
      </c>
      <c r="N7" t="str">
        <f t="shared" si="1"/>
        <v>パラメータ属性-S2-ST1-P2</v>
      </c>
      <c r="O7" t="str">
        <f t="shared" si="1"/>
        <v>ExapilotDL対象-S2-ST1-P2</v>
      </c>
      <c r="P7" t="str">
        <f t="shared" si="1"/>
        <v>パラメータ種別-S2-ST1-P2</v>
      </c>
      <c r="Q7" t="str">
        <f t="shared" si="1"/>
        <v>SAP作業番号-S2-ST1-P2</v>
      </c>
      <c r="R7" t="str">
        <f t="shared" si="1"/>
        <v>備考-S2-ST1-P2</v>
      </c>
      <c r="S7" t="str">
        <f t="shared" si="1"/>
        <v>確定値-S2-ST1-P2</v>
      </c>
      <c r="T7" t="str">
        <f t="shared" si="1"/>
        <v>実績収集値-S2-ST1-P2</v>
      </c>
      <c r="U7" t="str">
        <f t="shared" si="1"/>
        <v>実績確定値-S2-ST1-P2</v>
      </c>
      <c r="V7" t="str">
        <f t="shared" si="2"/>
        <v>設定値変更者-S2-ST1-P2</v>
      </c>
      <c r="W7" t="str">
        <f t="shared" si="2"/>
        <v>設定値変更日時-S2-ST1-P2</v>
      </c>
      <c r="X7" t="str">
        <f t="shared" si="2"/>
        <v>実績値変更者-S2-ST1-P2</v>
      </c>
      <c r="Y7" t="str">
        <f t="shared" si="2"/>
        <v>実績値変更日時-S2-ST1-P2</v>
      </c>
      <c r="Z7" t="str">
        <f t="shared" si="2"/>
        <v>設定値確認者-S2-ST1-P2</v>
      </c>
      <c r="AA7" t="str">
        <f t="shared" si="2"/>
        <v>設定値確認日時-S2-ST1-P2</v>
      </c>
      <c r="AB7" t="str">
        <f t="shared" si="2"/>
        <v>実績値確認者-S2-ST1-P2</v>
      </c>
      <c r="AC7" t="str">
        <f t="shared" si="2"/>
        <v>実績値確認日時-S2-ST1-P2</v>
      </c>
      <c r="AD7" t="str">
        <f t="shared" si="2"/>
        <v>SAP転記日-S2-ST1-P2</v>
      </c>
      <c r="AE7" t="str">
        <f t="shared" si="2"/>
        <v>SAP連携済フラグ-S2-ST1-P2</v>
      </c>
    </row>
    <row r="8" spans="1:31" x14ac:dyDescent="0.15">
      <c r="A8" t="s">
        <v>194</v>
      </c>
      <c r="B8" t="str">
        <f t="shared" si="0"/>
        <v>処方ID-S2</v>
      </c>
      <c r="C8" t="str">
        <f t="shared" si="0"/>
        <v>処方バージョン-S2</v>
      </c>
      <c r="D8" t="s">
        <v>200</v>
      </c>
      <c r="E8" t="s">
        <v>201</v>
      </c>
      <c r="F8" t="str">
        <f t="shared" si="1"/>
        <v>パラメータ名称-S2-ST2-P1</v>
      </c>
      <c r="G8" t="str">
        <f t="shared" si="1"/>
        <v>設定値-S2-ST2-P1</v>
      </c>
      <c r="H8" t="str">
        <f t="shared" si="1"/>
        <v>工業単位-S2-ST2-P1</v>
      </c>
      <c r="I8" t="str">
        <f t="shared" si="1"/>
        <v>指図確定時確認-S2-ST2-P1</v>
      </c>
      <c r="J8" t="str">
        <f t="shared" si="1"/>
        <v>表示順-S2-ST2-P1</v>
      </c>
      <c r="K8" t="str">
        <f t="shared" si="1"/>
        <v>実績収集-S2-ST2-P1</v>
      </c>
      <c r="L8" t="str">
        <f t="shared" si="1"/>
        <v>小数点以下有効桁数-S2-ST2-P1</v>
      </c>
      <c r="M8" t="str">
        <f t="shared" si="1"/>
        <v>端数処理コード-S2-ST2-P1</v>
      </c>
      <c r="N8" t="str">
        <f t="shared" si="1"/>
        <v>パラメータ属性-S2-ST2-P1</v>
      </c>
      <c r="O8" t="str">
        <f t="shared" si="1"/>
        <v>ExapilotDL対象-S2-ST2-P1</v>
      </c>
      <c r="P8" t="str">
        <f t="shared" si="1"/>
        <v>パラメータ種別-S2-ST2-P1</v>
      </c>
      <c r="Q8" t="str">
        <f t="shared" si="1"/>
        <v>SAP作業番号-S2-ST2-P1</v>
      </c>
      <c r="R8" t="str">
        <f t="shared" si="1"/>
        <v>備考-S2-ST2-P1</v>
      </c>
      <c r="S8" t="str">
        <f t="shared" si="1"/>
        <v>確定値-S2-ST2-P1</v>
      </c>
      <c r="T8" t="str">
        <f t="shared" si="1"/>
        <v>実績収集値-S2-ST2-P1</v>
      </c>
      <c r="U8" t="str">
        <f t="shared" si="1"/>
        <v>実績確定値-S2-ST2-P1</v>
      </c>
      <c r="V8" t="str">
        <f t="shared" si="2"/>
        <v>設定値変更者-S2-ST2-P1</v>
      </c>
      <c r="W8" t="str">
        <f t="shared" si="2"/>
        <v>設定値変更日時-S2-ST2-P1</v>
      </c>
      <c r="X8" t="str">
        <f t="shared" si="2"/>
        <v>実績値変更者-S2-ST2-P1</v>
      </c>
      <c r="Y8" t="str">
        <f t="shared" si="2"/>
        <v>実績値変更日時-S2-ST2-P1</v>
      </c>
      <c r="Z8" t="str">
        <f t="shared" si="2"/>
        <v>設定値確認者-S2-ST2-P1</v>
      </c>
      <c r="AA8" t="str">
        <f t="shared" si="2"/>
        <v>設定値確認日時-S2-ST2-P1</v>
      </c>
      <c r="AB8" t="str">
        <f t="shared" si="2"/>
        <v>実績値確認者-S2-ST2-P1</v>
      </c>
      <c r="AC8" t="str">
        <f t="shared" si="2"/>
        <v>実績値確認日時-S2-ST2-P1</v>
      </c>
      <c r="AD8" t="str">
        <f t="shared" si="2"/>
        <v>SAP転記日-S2-ST2-P1</v>
      </c>
      <c r="AE8" t="str">
        <f t="shared" si="2"/>
        <v>SAP連携済フラグ-S2-ST2-P1</v>
      </c>
    </row>
    <row r="9" spans="1:31" x14ac:dyDescent="0.15">
      <c r="A9" t="s">
        <v>194</v>
      </c>
      <c r="B9" t="str">
        <f t="shared" si="0"/>
        <v>処方ID-S2</v>
      </c>
      <c r="C9" t="str">
        <f t="shared" si="0"/>
        <v>処方バージョン-S2</v>
      </c>
      <c r="D9" t="s">
        <v>200</v>
      </c>
      <c r="E9" t="s">
        <v>202</v>
      </c>
      <c r="F9" t="str">
        <f t="shared" si="1"/>
        <v>パラメータ名称-S2-ST2-P2</v>
      </c>
      <c r="G9" t="str">
        <f t="shared" si="1"/>
        <v>設定値-S2-ST2-P2</v>
      </c>
      <c r="H9" t="str">
        <f t="shared" si="1"/>
        <v>工業単位-S2-ST2-P2</v>
      </c>
      <c r="I9" t="str">
        <f t="shared" si="1"/>
        <v>指図確定時確認-S2-ST2-P2</v>
      </c>
      <c r="J9" t="str">
        <f t="shared" si="1"/>
        <v>表示順-S2-ST2-P2</v>
      </c>
      <c r="K9" t="str">
        <f t="shared" si="1"/>
        <v>実績収集-S2-ST2-P2</v>
      </c>
      <c r="L9" t="str">
        <f t="shared" si="1"/>
        <v>小数点以下有効桁数-S2-ST2-P2</v>
      </c>
      <c r="M9" t="str">
        <f t="shared" si="1"/>
        <v>端数処理コード-S2-ST2-P2</v>
      </c>
      <c r="N9" t="str">
        <f t="shared" si="1"/>
        <v>パラメータ属性-S2-ST2-P2</v>
      </c>
      <c r="O9" t="str">
        <f t="shared" si="1"/>
        <v>ExapilotDL対象-S2-ST2-P2</v>
      </c>
      <c r="P9" t="str">
        <f t="shared" si="1"/>
        <v>パラメータ種別-S2-ST2-P2</v>
      </c>
      <c r="Q9" t="str">
        <f t="shared" si="1"/>
        <v>SAP作業番号-S2-ST2-P2</v>
      </c>
      <c r="R9" t="str">
        <f t="shared" si="1"/>
        <v>備考-S2-ST2-P2</v>
      </c>
      <c r="S9" t="str">
        <f t="shared" si="1"/>
        <v>確定値-S2-ST2-P2</v>
      </c>
      <c r="T9" t="str">
        <f t="shared" si="1"/>
        <v>実績収集値-S2-ST2-P2</v>
      </c>
      <c r="U9" t="str">
        <f t="shared" si="1"/>
        <v>実績確定値-S2-ST2-P2</v>
      </c>
      <c r="V9" t="str">
        <f t="shared" si="2"/>
        <v>設定値変更者-S2-ST2-P2</v>
      </c>
      <c r="W9" t="str">
        <f t="shared" si="2"/>
        <v>設定値変更日時-S2-ST2-P2</v>
      </c>
      <c r="X9" t="str">
        <f t="shared" si="2"/>
        <v>実績値変更者-S2-ST2-P2</v>
      </c>
      <c r="Y9" t="str">
        <f t="shared" si="2"/>
        <v>実績値変更日時-S2-ST2-P2</v>
      </c>
      <c r="Z9" t="str">
        <f t="shared" si="2"/>
        <v>設定値確認者-S2-ST2-P2</v>
      </c>
      <c r="AA9" t="str">
        <f t="shared" si="2"/>
        <v>設定値確認日時-S2-ST2-P2</v>
      </c>
      <c r="AB9" t="str">
        <f t="shared" si="2"/>
        <v>実績値確認者-S2-ST2-P2</v>
      </c>
      <c r="AC9" t="str">
        <f t="shared" si="2"/>
        <v>実績値確認日時-S2-ST2-P2</v>
      </c>
      <c r="AD9" t="str">
        <f t="shared" si="2"/>
        <v>SAP転記日-S2-ST2-P2</v>
      </c>
      <c r="AE9" t="str">
        <f t="shared" si="2"/>
        <v>SAP連携済フラグ-S2-ST2-P2</v>
      </c>
    </row>
    <row r="10" spans="1:31" x14ac:dyDescent="0.15">
      <c r="A10" t="s">
        <v>195</v>
      </c>
      <c r="B10" t="str">
        <f t="shared" si="0"/>
        <v>処方ID-S3</v>
      </c>
      <c r="C10" t="str">
        <f t="shared" si="0"/>
        <v>処方バージョン-S3</v>
      </c>
      <c r="D10" t="s">
        <v>198</v>
      </c>
      <c r="E10" t="s">
        <v>201</v>
      </c>
      <c r="F10" t="str">
        <f t="shared" si="1"/>
        <v>パラメータ名称-S3-ST1-P1</v>
      </c>
      <c r="G10" t="str">
        <f t="shared" si="1"/>
        <v>設定値-S3-ST1-P1</v>
      </c>
      <c r="H10" t="str">
        <f t="shared" si="1"/>
        <v>工業単位-S3-ST1-P1</v>
      </c>
      <c r="I10" t="str">
        <f t="shared" si="1"/>
        <v>指図確定時確認-S3-ST1-P1</v>
      </c>
      <c r="J10" t="str">
        <f t="shared" si="1"/>
        <v>表示順-S3-ST1-P1</v>
      </c>
      <c r="K10" t="str">
        <f t="shared" si="1"/>
        <v>実績収集-S3-ST1-P1</v>
      </c>
      <c r="L10" t="str">
        <f t="shared" si="1"/>
        <v>小数点以下有効桁数-S3-ST1-P1</v>
      </c>
      <c r="M10" t="str">
        <f t="shared" si="1"/>
        <v>端数処理コード-S3-ST1-P1</v>
      </c>
      <c r="N10" t="str">
        <f t="shared" si="1"/>
        <v>パラメータ属性-S3-ST1-P1</v>
      </c>
      <c r="O10" t="str">
        <f t="shared" si="1"/>
        <v>ExapilotDL対象-S3-ST1-P1</v>
      </c>
      <c r="P10" t="str">
        <f t="shared" si="1"/>
        <v>パラメータ種別-S3-ST1-P1</v>
      </c>
      <c r="Q10" t="str">
        <f t="shared" si="1"/>
        <v>SAP作業番号-S3-ST1-P1</v>
      </c>
      <c r="R10" t="str">
        <f t="shared" si="1"/>
        <v>備考-S3-ST1-P1</v>
      </c>
      <c r="S10" t="str">
        <f t="shared" si="1"/>
        <v>確定値-S3-ST1-P1</v>
      </c>
      <c r="T10" t="str">
        <f t="shared" si="1"/>
        <v>実績収集値-S3-ST1-P1</v>
      </c>
      <c r="U10" t="str">
        <f t="shared" si="1"/>
        <v>実績確定値-S3-ST1-P1</v>
      </c>
      <c r="V10" t="str">
        <f t="shared" si="2"/>
        <v>設定値変更者-S3-ST1-P1</v>
      </c>
      <c r="W10" t="str">
        <f t="shared" si="2"/>
        <v>設定値変更日時-S3-ST1-P1</v>
      </c>
      <c r="X10" t="str">
        <f t="shared" si="2"/>
        <v>実績値変更者-S3-ST1-P1</v>
      </c>
      <c r="Y10" t="str">
        <f t="shared" si="2"/>
        <v>実績値変更日時-S3-ST1-P1</v>
      </c>
      <c r="Z10" t="str">
        <f t="shared" si="2"/>
        <v>設定値確認者-S3-ST1-P1</v>
      </c>
      <c r="AA10" t="str">
        <f t="shared" si="2"/>
        <v>設定値確認日時-S3-ST1-P1</v>
      </c>
      <c r="AB10" t="str">
        <f t="shared" si="2"/>
        <v>実績値確認者-S3-ST1-P1</v>
      </c>
      <c r="AC10" t="str">
        <f t="shared" si="2"/>
        <v>実績値確認日時-S3-ST1-P1</v>
      </c>
      <c r="AD10" t="str">
        <f t="shared" si="2"/>
        <v>SAP転記日-S3-ST1-P1</v>
      </c>
      <c r="AE10" t="str">
        <f t="shared" si="2"/>
        <v>SAP連携済フラグ-S3-ST1-P1</v>
      </c>
    </row>
    <row r="11" spans="1:31" x14ac:dyDescent="0.15">
      <c r="A11" t="s">
        <v>195</v>
      </c>
      <c r="B11" t="str">
        <f t="shared" si="0"/>
        <v>処方ID-S3</v>
      </c>
      <c r="C11" t="str">
        <f t="shared" si="0"/>
        <v>処方バージョン-S3</v>
      </c>
      <c r="D11" t="s">
        <v>198</v>
      </c>
      <c r="E11" t="s">
        <v>202</v>
      </c>
      <c r="F11" t="str">
        <f t="shared" si="1"/>
        <v>パラメータ名称-S3-ST1-P2</v>
      </c>
      <c r="G11" t="str">
        <f t="shared" si="1"/>
        <v>設定値-S3-ST1-P2</v>
      </c>
      <c r="H11" t="str">
        <f t="shared" si="1"/>
        <v>工業単位-S3-ST1-P2</v>
      </c>
      <c r="I11" t="str">
        <f t="shared" si="1"/>
        <v>指図確定時確認-S3-ST1-P2</v>
      </c>
      <c r="J11" t="str">
        <f t="shared" si="1"/>
        <v>表示順-S3-ST1-P2</v>
      </c>
      <c r="K11" t="str">
        <f t="shared" si="1"/>
        <v>実績収集-S3-ST1-P2</v>
      </c>
      <c r="L11" t="str">
        <f t="shared" si="1"/>
        <v>小数点以下有効桁数-S3-ST1-P2</v>
      </c>
      <c r="M11" t="str">
        <f t="shared" si="1"/>
        <v>端数処理コード-S3-ST1-P2</v>
      </c>
      <c r="N11" t="str">
        <f t="shared" si="1"/>
        <v>パラメータ属性-S3-ST1-P2</v>
      </c>
      <c r="O11" t="str">
        <f t="shared" si="1"/>
        <v>ExapilotDL対象-S3-ST1-P2</v>
      </c>
      <c r="P11" t="str">
        <f t="shared" si="1"/>
        <v>パラメータ種別-S3-ST1-P2</v>
      </c>
      <c r="Q11" t="str">
        <f t="shared" si="1"/>
        <v>SAP作業番号-S3-ST1-P2</v>
      </c>
      <c r="R11" t="str">
        <f t="shared" si="1"/>
        <v>備考-S3-ST1-P2</v>
      </c>
      <c r="S11" t="str">
        <f t="shared" si="1"/>
        <v>確定値-S3-ST1-P2</v>
      </c>
      <c r="T11" t="str">
        <f t="shared" si="1"/>
        <v>実績収集値-S3-ST1-P2</v>
      </c>
      <c r="U11" t="str">
        <f t="shared" si="1"/>
        <v>実績確定値-S3-ST1-P2</v>
      </c>
      <c r="V11" t="str">
        <f t="shared" si="2"/>
        <v>設定値変更者-S3-ST1-P2</v>
      </c>
      <c r="W11" t="str">
        <f t="shared" si="2"/>
        <v>設定値変更日時-S3-ST1-P2</v>
      </c>
      <c r="X11" t="str">
        <f t="shared" si="2"/>
        <v>実績値変更者-S3-ST1-P2</v>
      </c>
      <c r="Y11" t="str">
        <f t="shared" si="2"/>
        <v>実績値変更日時-S3-ST1-P2</v>
      </c>
      <c r="Z11" t="str">
        <f t="shared" si="2"/>
        <v>設定値確認者-S3-ST1-P2</v>
      </c>
      <c r="AA11" t="str">
        <f t="shared" si="2"/>
        <v>設定値確認日時-S3-ST1-P2</v>
      </c>
      <c r="AB11" t="str">
        <f t="shared" si="2"/>
        <v>実績値確認者-S3-ST1-P2</v>
      </c>
      <c r="AC11" t="str">
        <f t="shared" si="2"/>
        <v>実績値確認日時-S3-ST1-P2</v>
      </c>
      <c r="AD11" t="str">
        <f t="shared" si="2"/>
        <v>SAP転記日-S3-ST1-P2</v>
      </c>
      <c r="AE11" t="str">
        <f t="shared" si="2"/>
        <v>SAP連携済フラグ-S3-ST1-P2</v>
      </c>
    </row>
    <row r="12" spans="1:31" x14ac:dyDescent="0.15">
      <c r="A12" t="s">
        <v>195</v>
      </c>
      <c r="B12" t="str">
        <f t="shared" si="0"/>
        <v>処方ID-S3</v>
      </c>
      <c r="C12" t="str">
        <f t="shared" si="0"/>
        <v>処方バージョン-S3</v>
      </c>
      <c r="D12" t="s">
        <v>200</v>
      </c>
      <c r="E12" t="s">
        <v>201</v>
      </c>
      <c r="F12" t="str">
        <f t="shared" si="1"/>
        <v>パラメータ名称-S3-ST2-P1</v>
      </c>
      <c r="G12" t="str">
        <f t="shared" si="1"/>
        <v>設定値-S3-ST2-P1</v>
      </c>
      <c r="H12" t="str">
        <f t="shared" si="1"/>
        <v>工業単位-S3-ST2-P1</v>
      </c>
      <c r="I12" t="str">
        <f t="shared" si="1"/>
        <v>指図確定時確認-S3-ST2-P1</v>
      </c>
      <c r="J12" t="str">
        <f t="shared" si="1"/>
        <v>表示順-S3-ST2-P1</v>
      </c>
      <c r="K12" t="str">
        <f t="shared" si="1"/>
        <v>実績収集-S3-ST2-P1</v>
      </c>
      <c r="L12" t="str">
        <f t="shared" si="1"/>
        <v>小数点以下有効桁数-S3-ST2-P1</v>
      </c>
      <c r="M12" t="str">
        <f t="shared" si="1"/>
        <v>端数処理コード-S3-ST2-P1</v>
      </c>
      <c r="N12" t="str">
        <f t="shared" si="1"/>
        <v>パラメータ属性-S3-ST2-P1</v>
      </c>
      <c r="O12" t="str">
        <f t="shared" si="1"/>
        <v>ExapilotDL対象-S3-ST2-P1</v>
      </c>
      <c r="P12" t="str">
        <f t="shared" si="1"/>
        <v>パラメータ種別-S3-ST2-P1</v>
      </c>
      <c r="Q12" t="str">
        <f t="shared" si="1"/>
        <v>SAP作業番号-S3-ST2-P1</v>
      </c>
      <c r="R12" t="str">
        <f t="shared" si="1"/>
        <v>備考-S3-ST2-P1</v>
      </c>
      <c r="S12" t="str">
        <f t="shared" si="1"/>
        <v>確定値-S3-ST2-P1</v>
      </c>
      <c r="T12" t="str">
        <f t="shared" si="1"/>
        <v>実績収集値-S3-ST2-P1</v>
      </c>
      <c r="U12" t="str">
        <f t="shared" si="1"/>
        <v>実績確定値-S3-ST2-P1</v>
      </c>
      <c r="V12" t="str">
        <f t="shared" si="2"/>
        <v>設定値変更者-S3-ST2-P1</v>
      </c>
      <c r="W12" t="str">
        <f t="shared" si="2"/>
        <v>設定値変更日時-S3-ST2-P1</v>
      </c>
      <c r="X12" t="str">
        <f t="shared" si="2"/>
        <v>実績値変更者-S3-ST2-P1</v>
      </c>
      <c r="Y12" t="str">
        <f t="shared" si="2"/>
        <v>実績値変更日時-S3-ST2-P1</v>
      </c>
      <c r="Z12" t="str">
        <f t="shared" si="2"/>
        <v>設定値確認者-S3-ST2-P1</v>
      </c>
      <c r="AA12" t="str">
        <f t="shared" si="2"/>
        <v>設定値確認日時-S3-ST2-P1</v>
      </c>
      <c r="AB12" t="str">
        <f t="shared" si="2"/>
        <v>実績値確認者-S3-ST2-P1</v>
      </c>
      <c r="AC12" t="str">
        <f t="shared" si="2"/>
        <v>実績値確認日時-S3-ST2-P1</v>
      </c>
      <c r="AD12" t="str">
        <f t="shared" si="2"/>
        <v>SAP転記日-S3-ST2-P1</v>
      </c>
      <c r="AE12" t="str">
        <f t="shared" si="2"/>
        <v>SAP連携済フラグ-S3-ST2-P1</v>
      </c>
    </row>
    <row r="13" spans="1:31" x14ac:dyDescent="0.15">
      <c r="A13" t="s">
        <v>195</v>
      </c>
      <c r="B13" t="str">
        <f t="shared" si="0"/>
        <v>処方ID-S3</v>
      </c>
      <c r="C13" t="str">
        <f t="shared" si="0"/>
        <v>処方バージョン-S3</v>
      </c>
      <c r="D13" t="s">
        <v>200</v>
      </c>
      <c r="E13" t="s">
        <v>202</v>
      </c>
      <c r="F13" t="str">
        <f t="shared" si="1"/>
        <v>パラメータ名称-S3-ST2-P2</v>
      </c>
      <c r="G13" t="str">
        <f t="shared" si="1"/>
        <v>設定値-S3-ST2-P2</v>
      </c>
      <c r="H13" t="str">
        <f t="shared" si="1"/>
        <v>工業単位-S3-ST2-P2</v>
      </c>
      <c r="I13" t="str">
        <f t="shared" si="1"/>
        <v>指図確定時確認-S3-ST2-P2</v>
      </c>
      <c r="J13" t="str">
        <f t="shared" si="1"/>
        <v>表示順-S3-ST2-P2</v>
      </c>
      <c r="K13" t="str">
        <f t="shared" si="1"/>
        <v>実績収集-S3-ST2-P2</v>
      </c>
      <c r="L13" t="str">
        <f t="shared" si="1"/>
        <v>小数点以下有効桁数-S3-ST2-P2</v>
      </c>
      <c r="M13" t="str">
        <f t="shared" si="1"/>
        <v>端数処理コード-S3-ST2-P2</v>
      </c>
      <c r="N13" t="str">
        <f t="shared" si="1"/>
        <v>パラメータ属性-S3-ST2-P2</v>
      </c>
      <c r="O13" t="str">
        <f t="shared" si="1"/>
        <v>ExapilotDL対象-S3-ST2-P2</v>
      </c>
      <c r="P13" t="str">
        <f t="shared" si="1"/>
        <v>パラメータ種別-S3-ST2-P2</v>
      </c>
      <c r="Q13" t="str">
        <f t="shared" si="1"/>
        <v>SAP作業番号-S3-ST2-P2</v>
      </c>
      <c r="R13" t="str">
        <f t="shared" si="1"/>
        <v>備考-S3-ST2-P2</v>
      </c>
      <c r="S13" t="str">
        <f t="shared" si="1"/>
        <v>確定値-S3-ST2-P2</v>
      </c>
      <c r="T13" t="str">
        <f t="shared" si="1"/>
        <v>実績収集値-S3-ST2-P2</v>
      </c>
      <c r="U13" t="str">
        <f t="shared" si="1"/>
        <v>実績確定値-S3-ST2-P2</v>
      </c>
      <c r="V13" t="str">
        <f t="shared" si="2"/>
        <v>設定値変更者-S3-ST2-P2</v>
      </c>
      <c r="W13" t="str">
        <f t="shared" si="2"/>
        <v>設定値変更日時-S3-ST2-P2</v>
      </c>
      <c r="X13" t="str">
        <f t="shared" si="2"/>
        <v>実績値変更者-S3-ST2-P2</v>
      </c>
      <c r="Y13" t="str">
        <f t="shared" si="2"/>
        <v>実績値変更日時-S3-ST2-P2</v>
      </c>
      <c r="Z13" t="str">
        <f t="shared" si="2"/>
        <v>設定値確認者-S3-ST2-P2</v>
      </c>
      <c r="AA13" t="str">
        <f t="shared" si="2"/>
        <v>設定値確認日時-S3-ST2-P2</v>
      </c>
      <c r="AB13" t="str">
        <f t="shared" si="2"/>
        <v>実績値確認者-S3-ST2-P2</v>
      </c>
      <c r="AC13" t="str">
        <f t="shared" si="2"/>
        <v>実績値確認日時-S3-ST2-P2</v>
      </c>
      <c r="AD13" t="str">
        <f t="shared" si="2"/>
        <v>SAP転記日-S3-ST2-P2</v>
      </c>
      <c r="AE13" t="str">
        <f t="shared" si="2"/>
        <v>SAP連携済フラグ-S3-ST2-P2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3"/>
  <sheetViews>
    <sheetView zoomScale="80" zoomScaleNormal="80" workbookViewId="0"/>
  </sheetViews>
  <sheetFormatPr defaultRowHeight="13.5" x14ac:dyDescent="0.15"/>
  <cols>
    <col min="1" max="1" width="13.625" bestFit="1" customWidth="1"/>
    <col min="2" max="2" width="10.25" bestFit="1" customWidth="1"/>
    <col min="3" max="3" width="18" bestFit="1" customWidth="1"/>
    <col min="4" max="4" width="10.125" bestFit="1" customWidth="1"/>
    <col min="5" max="5" width="12" bestFit="1" customWidth="1"/>
    <col min="6" max="26" width="3.625" customWidth="1"/>
  </cols>
  <sheetData>
    <row r="1" spans="1:26" x14ac:dyDescent="0.15">
      <c r="A1" s="3" t="s">
        <v>0</v>
      </c>
      <c r="B1" s="1" t="s">
        <v>17</v>
      </c>
      <c r="C1" s="1" t="s">
        <v>18</v>
      </c>
      <c r="D1" s="3" t="s">
        <v>78</v>
      </c>
      <c r="E1" s="3" t="s">
        <v>95</v>
      </c>
      <c r="F1" s="1" t="s">
        <v>96</v>
      </c>
      <c r="G1" s="1" t="s">
        <v>97</v>
      </c>
      <c r="H1" s="1" t="s">
        <v>99</v>
      </c>
      <c r="I1" s="1" t="s">
        <v>20</v>
      </c>
      <c r="J1" s="1" t="s">
        <v>100</v>
      </c>
      <c r="K1" s="1" t="s">
        <v>101</v>
      </c>
      <c r="L1" s="1" t="s">
        <v>102</v>
      </c>
      <c r="M1" s="1" t="s">
        <v>103</v>
      </c>
      <c r="N1" s="1" t="s">
        <v>32</v>
      </c>
      <c r="O1" s="1" t="s">
        <v>126</v>
      </c>
      <c r="P1" s="1" t="s">
        <v>127</v>
      </c>
      <c r="Q1" s="1" t="s">
        <v>128</v>
      </c>
      <c r="R1" s="1" t="s">
        <v>129</v>
      </c>
      <c r="S1" s="1" t="s">
        <v>130</v>
      </c>
      <c r="T1" s="1" t="s">
        <v>131</v>
      </c>
      <c r="U1" s="1" t="s">
        <v>132</v>
      </c>
      <c r="V1" s="1" t="s">
        <v>133</v>
      </c>
      <c r="W1" s="1" t="s">
        <v>134</v>
      </c>
      <c r="X1" s="1" t="s">
        <v>135</v>
      </c>
      <c r="Y1" s="1" t="s">
        <v>136</v>
      </c>
      <c r="Z1" s="1" t="s">
        <v>157</v>
      </c>
    </row>
    <row r="2" spans="1:26" x14ac:dyDescent="0.15">
      <c r="A2" t="s">
        <v>193</v>
      </c>
      <c r="B2" t="str">
        <f t="shared" ref="B2:C13" si="0">B$1&amp;"-"&amp;$A2</f>
        <v>処方ID-S1</v>
      </c>
      <c r="C2" t="str">
        <f t="shared" si="0"/>
        <v>処方バージョン-S1</v>
      </c>
      <c r="D2" t="s">
        <v>198</v>
      </c>
      <c r="E2" t="s">
        <v>201</v>
      </c>
      <c r="F2" t="str">
        <f t="shared" ref="F2:U13" si="1">F$1&amp;"-"&amp;$A2&amp;"-"&amp;$D2&amp;"-"&amp;$E2</f>
        <v>パラメータ名称-S1-ST1-P1</v>
      </c>
      <c r="G2" t="str">
        <f t="shared" si="1"/>
        <v>設定値-S1-ST1-P1</v>
      </c>
      <c r="H2" t="str">
        <f t="shared" si="1"/>
        <v>指図確定時確認-S1-ST1-P1</v>
      </c>
      <c r="I2" t="str">
        <f t="shared" si="1"/>
        <v>表示順-S1-ST1-P1</v>
      </c>
      <c r="J2" t="str">
        <f t="shared" si="1"/>
        <v>実績収集-S1-ST1-P1</v>
      </c>
      <c r="K2" t="str">
        <f t="shared" si="1"/>
        <v>パラメータ属性-S1-ST1-P1</v>
      </c>
      <c r="L2" t="str">
        <f t="shared" si="1"/>
        <v>ExapilotDL対象-S1-ST1-P1</v>
      </c>
      <c r="M2" t="str">
        <f t="shared" si="1"/>
        <v>パラメータ種別-S1-ST1-P1</v>
      </c>
      <c r="N2" t="str">
        <f t="shared" si="1"/>
        <v>備考-S1-ST1-P1</v>
      </c>
      <c r="O2" t="str">
        <f t="shared" si="1"/>
        <v>確定値-S1-ST1-P1</v>
      </c>
      <c r="P2" t="str">
        <f t="shared" si="1"/>
        <v>実績収集値-S1-ST1-P1</v>
      </c>
      <c r="Q2" t="str">
        <f t="shared" si="1"/>
        <v>実績確定値-S1-ST1-P1</v>
      </c>
      <c r="R2" t="str">
        <f t="shared" si="1"/>
        <v>設定値変更者-S1-ST1-P1</v>
      </c>
      <c r="S2" t="str">
        <f t="shared" si="1"/>
        <v>設定値変更日時-S1-ST1-P1</v>
      </c>
      <c r="T2" t="str">
        <f t="shared" si="1"/>
        <v>実績値変更者-S1-ST1-P1</v>
      </c>
      <c r="U2" t="str">
        <f t="shared" si="1"/>
        <v>実績値変更日時-S1-ST1-P1</v>
      </c>
      <c r="V2" t="str">
        <f t="shared" ref="G2:Z13" si="2">V$1&amp;"-"&amp;$A2&amp;"-"&amp;$D2&amp;"-"&amp;$E2</f>
        <v>設定値確認者-S1-ST1-P1</v>
      </c>
      <c r="W2" t="str">
        <f t="shared" si="2"/>
        <v>設定値確認日時-S1-ST1-P1</v>
      </c>
      <c r="X2" t="str">
        <f t="shared" si="2"/>
        <v>実績値確認者-S1-ST1-P1</v>
      </c>
      <c r="Y2" t="str">
        <f t="shared" si="2"/>
        <v>実績値確認日時-S1-ST1-P1</v>
      </c>
      <c r="Z2" t="str">
        <f t="shared" si="2"/>
        <v>ファイルパス-S1-ST1-P1</v>
      </c>
    </row>
    <row r="3" spans="1:26" x14ac:dyDescent="0.15">
      <c r="A3" t="s">
        <v>193</v>
      </c>
      <c r="B3" t="str">
        <f t="shared" si="0"/>
        <v>処方ID-S1</v>
      </c>
      <c r="C3" t="str">
        <f t="shared" si="0"/>
        <v>処方バージョン-S1</v>
      </c>
      <c r="D3" t="s">
        <v>198</v>
      </c>
      <c r="E3" t="s">
        <v>202</v>
      </c>
      <c r="F3" t="str">
        <f t="shared" si="1"/>
        <v>パラメータ名称-S1-ST1-P2</v>
      </c>
      <c r="G3" t="str">
        <f t="shared" si="2"/>
        <v>設定値-S1-ST1-P2</v>
      </c>
      <c r="H3" t="str">
        <f t="shared" si="2"/>
        <v>指図確定時確認-S1-ST1-P2</v>
      </c>
      <c r="I3" t="str">
        <f t="shared" si="2"/>
        <v>表示順-S1-ST1-P2</v>
      </c>
      <c r="J3" t="str">
        <f t="shared" si="2"/>
        <v>実績収集-S1-ST1-P2</v>
      </c>
      <c r="K3" t="str">
        <f t="shared" si="2"/>
        <v>パラメータ属性-S1-ST1-P2</v>
      </c>
      <c r="L3" t="str">
        <f t="shared" si="2"/>
        <v>ExapilotDL対象-S1-ST1-P2</v>
      </c>
      <c r="M3" t="str">
        <f t="shared" si="2"/>
        <v>パラメータ種別-S1-ST1-P2</v>
      </c>
      <c r="N3" t="str">
        <f t="shared" si="2"/>
        <v>備考-S1-ST1-P2</v>
      </c>
      <c r="O3" t="str">
        <f t="shared" si="2"/>
        <v>確定値-S1-ST1-P2</v>
      </c>
      <c r="P3" t="str">
        <f t="shared" si="2"/>
        <v>実績収集値-S1-ST1-P2</v>
      </c>
      <c r="Q3" t="str">
        <f t="shared" si="2"/>
        <v>実績確定値-S1-ST1-P2</v>
      </c>
      <c r="R3" t="str">
        <f t="shared" si="2"/>
        <v>設定値変更者-S1-ST1-P2</v>
      </c>
      <c r="S3" t="str">
        <f t="shared" si="2"/>
        <v>設定値変更日時-S1-ST1-P2</v>
      </c>
      <c r="T3" t="str">
        <f t="shared" si="2"/>
        <v>実績値変更者-S1-ST1-P2</v>
      </c>
      <c r="U3" t="str">
        <f t="shared" si="2"/>
        <v>実績値変更日時-S1-ST1-P2</v>
      </c>
      <c r="V3" t="str">
        <f t="shared" si="2"/>
        <v>設定値確認者-S1-ST1-P2</v>
      </c>
      <c r="W3" t="str">
        <f t="shared" si="2"/>
        <v>設定値確認日時-S1-ST1-P2</v>
      </c>
      <c r="X3" t="str">
        <f t="shared" si="2"/>
        <v>実績値確認者-S1-ST1-P2</v>
      </c>
      <c r="Y3" t="str">
        <f t="shared" si="2"/>
        <v>実績値確認日時-S1-ST1-P2</v>
      </c>
      <c r="Z3" t="str">
        <f t="shared" si="2"/>
        <v>ファイルパス-S1-ST1-P2</v>
      </c>
    </row>
    <row r="4" spans="1:26" x14ac:dyDescent="0.15">
      <c r="A4" t="s">
        <v>193</v>
      </c>
      <c r="B4" t="str">
        <f t="shared" si="0"/>
        <v>処方ID-S1</v>
      </c>
      <c r="C4" t="str">
        <f t="shared" si="0"/>
        <v>処方バージョン-S1</v>
      </c>
      <c r="D4" t="s">
        <v>200</v>
      </c>
      <c r="E4" t="s">
        <v>201</v>
      </c>
      <c r="F4" t="str">
        <f t="shared" si="1"/>
        <v>パラメータ名称-S1-ST2-P1</v>
      </c>
      <c r="G4" t="str">
        <f t="shared" si="2"/>
        <v>設定値-S1-ST2-P1</v>
      </c>
      <c r="H4" t="str">
        <f t="shared" si="2"/>
        <v>指図確定時確認-S1-ST2-P1</v>
      </c>
      <c r="I4" t="str">
        <f t="shared" si="2"/>
        <v>表示順-S1-ST2-P1</v>
      </c>
      <c r="J4" t="str">
        <f t="shared" si="2"/>
        <v>実績収集-S1-ST2-P1</v>
      </c>
      <c r="K4" t="str">
        <f t="shared" si="2"/>
        <v>パラメータ属性-S1-ST2-P1</v>
      </c>
      <c r="L4" t="str">
        <f t="shared" si="2"/>
        <v>ExapilotDL対象-S1-ST2-P1</v>
      </c>
      <c r="M4" t="str">
        <f t="shared" si="2"/>
        <v>パラメータ種別-S1-ST2-P1</v>
      </c>
      <c r="N4" t="str">
        <f t="shared" si="2"/>
        <v>備考-S1-ST2-P1</v>
      </c>
      <c r="O4" t="str">
        <f t="shared" si="2"/>
        <v>確定値-S1-ST2-P1</v>
      </c>
      <c r="P4" t="str">
        <f t="shared" si="2"/>
        <v>実績収集値-S1-ST2-P1</v>
      </c>
      <c r="Q4" t="str">
        <f t="shared" si="2"/>
        <v>実績確定値-S1-ST2-P1</v>
      </c>
      <c r="R4" t="str">
        <f t="shared" si="2"/>
        <v>設定値変更者-S1-ST2-P1</v>
      </c>
      <c r="S4" t="str">
        <f t="shared" si="2"/>
        <v>設定値変更日時-S1-ST2-P1</v>
      </c>
      <c r="T4" t="str">
        <f t="shared" si="2"/>
        <v>実績値変更者-S1-ST2-P1</v>
      </c>
      <c r="U4" t="str">
        <f t="shared" si="2"/>
        <v>実績値変更日時-S1-ST2-P1</v>
      </c>
      <c r="V4" t="str">
        <f t="shared" si="2"/>
        <v>設定値確認者-S1-ST2-P1</v>
      </c>
      <c r="W4" t="str">
        <f t="shared" si="2"/>
        <v>設定値確認日時-S1-ST2-P1</v>
      </c>
      <c r="X4" t="str">
        <f t="shared" si="2"/>
        <v>実績値確認者-S1-ST2-P1</v>
      </c>
      <c r="Y4" t="str">
        <f t="shared" si="2"/>
        <v>実績値確認日時-S1-ST2-P1</v>
      </c>
      <c r="Z4" t="str">
        <f t="shared" si="2"/>
        <v>ファイルパス-S1-ST2-P1</v>
      </c>
    </row>
    <row r="5" spans="1:26" x14ac:dyDescent="0.15">
      <c r="A5" t="s">
        <v>193</v>
      </c>
      <c r="B5" t="str">
        <f t="shared" si="0"/>
        <v>処方ID-S1</v>
      </c>
      <c r="C5" t="str">
        <f t="shared" si="0"/>
        <v>処方バージョン-S1</v>
      </c>
      <c r="D5" t="s">
        <v>200</v>
      </c>
      <c r="E5" t="s">
        <v>202</v>
      </c>
      <c r="F5" t="str">
        <f t="shared" si="1"/>
        <v>パラメータ名称-S1-ST2-P2</v>
      </c>
      <c r="G5" t="str">
        <f t="shared" si="2"/>
        <v>設定値-S1-ST2-P2</v>
      </c>
      <c r="H5" t="str">
        <f t="shared" si="2"/>
        <v>指図確定時確認-S1-ST2-P2</v>
      </c>
      <c r="I5" t="str">
        <f t="shared" si="2"/>
        <v>表示順-S1-ST2-P2</v>
      </c>
      <c r="J5" t="str">
        <f t="shared" si="2"/>
        <v>実績収集-S1-ST2-P2</v>
      </c>
      <c r="K5" t="str">
        <f t="shared" si="2"/>
        <v>パラメータ属性-S1-ST2-P2</v>
      </c>
      <c r="L5" t="str">
        <f t="shared" si="2"/>
        <v>ExapilotDL対象-S1-ST2-P2</v>
      </c>
      <c r="M5" t="str">
        <f t="shared" si="2"/>
        <v>パラメータ種別-S1-ST2-P2</v>
      </c>
      <c r="N5" t="str">
        <f t="shared" si="2"/>
        <v>備考-S1-ST2-P2</v>
      </c>
      <c r="O5" t="str">
        <f t="shared" si="2"/>
        <v>確定値-S1-ST2-P2</v>
      </c>
      <c r="P5" t="str">
        <f t="shared" si="2"/>
        <v>実績収集値-S1-ST2-P2</v>
      </c>
      <c r="Q5" t="str">
        <f t="shared" si="2"/>
        <v>実績確定値-S1-ST2-P2</v>
      </c>
      <c r="R5" t="str">
        <f t="shared" si="2"/>
        <v>設定値変更者-S1-ST2-P2</v>
      </c>
      <c r="S5" t="str">
        <f t="shared" si="2"/>
        <v>設定値変更日時-S1-ST2-P2</v>
      </c>
      <c r="T5" t="str">
        <f t="shared" si="2"/>
        <v>実績値変更者-S1-ST2-P2</v>
      </c>
      <c r="U5" t="str">
        <f t="shared" si="2"/>
        <v>実績値変更日時-S1-ST2-P2</v>
      </c>
      <c r="V5" t="str">
        <f t="shared" si="2"/>
        <v>設定値確認者-S1-ST2-P2</v>
      </c>
      <c r="W5" t="str">
        <f t="shared" si="2"/>
        <v>設定値確認日時-S1-ST2-P2</v>
      </c>
      <c r="X5" t="str">
        <f t="shared" si="2"/>
        <v>実績値確認者-S1-ST2-P2</v>
      </c>
      <c r="Y5" t="str">
        <f t="shared" si="2"/>
        <v>実績値確認日時-S1-ST2-P2</v>
      </c>
      <c r="Z5" t="str">
        <f t="shared" si="2"/>
        <v>ファイルパス-S1-ST2-P2</v>
      </c>
    </row>
    <row r="6" spans="1:26" x14ac:dyDescent="0.15">
      <c r="A6" t="s">
        <v>194</v>
      </c>
      <c r="B6" t="str">
        <f t="shared" si="0"/>
        <v>処方ID-S2</v>
      </c>
      <c r="C6" t="str">
        <f t="shared" si="0"/>
        <v>処方バージョン-S2</v>
      </c>
      <c r="D6" t="s">
        <v>198</v>
      </c>
      <c r="E6" t="s">
        <v>201</v>
      </c>
      <c r="F6" t="str">
        <f t="shared" si="1"/>
        <v>パラメータ名称-S2-ST1-P1</v>
      </c>
      <c r="G6" t="str">
        <f t="shared" si="2"/>
        <v>設定値-S2-ST1-P1</v>
      </c>
      <c r="H6" t="str">
        <f t="shared" si="2"/>
        <v>指図確定時確認-S2-ST1-P1</v>
      </c>
      <c r="I6" t="str">
        <f t="shared" si="2"/>
        <v>表示順-S2-ST1-P1</v>
      </c>
      <c r="J6" t="str">
        <f t="shared" si="2"/>
        <v>実績収集-S2-ST1-P1</v>
      </c>
      <c r="K6" t="str">
        <f t="shared" si="2"/>
        <v>パラメータ属性-S2-ST1-P1</v>
      </c>
      <c r="L6" t="str">
        <f t="shared" si="2"/>
        <v>ExapilotDL対象-S2-ST1-P1</v>
      </c>
      <c r="M6" t="str">
        <f t="shared" si="2"/>
        <v>パラメータ種別-S2-ST1-P1</v>
      </c>
      <c r="N6" t="str">
        <f t="shared" si="2"/>
        <v>備考-S2-ST1-P1</v>
      </c>
      <c r="O6" t="str">
        <f t="shared" si="2"/>
        <v>確定値-S2-ST1-P1</v>
      </c>
      <c r="P6" t="str">
        <f t="shared" si="2"/>
        <v>実績収集値-S2-ST1-P1</v>
      </c>
      <c r="Q6" t="str">
        <f t="shared" si="2"/>
        <v>実績確定値-S2-ST1-P1</v>
      </c>
      <c r="R6" t="str">
        <f t="shared" si="2"/>
        <v>設定値変更者-S2-ST1-P1</v>
      </c>
      <c r="S6" t="str">
        <f t="shared" si="2"/>
        <v>設定値変更日時-S2-ST1-P1</v>
      </c>
      <c r="T6" t="str">
        <f t="shared" si="2"/>
        <v>実績値変更者-S2-ST1-P1</v>
      </c>
      <c r="U6" t="str">
        <f t="shared" si="2"/>
        <v>実績値変更日時-S2-ST1-P1</v>
      </c>
      <c r="V6" t="str">
        <f t="shared" si="2"/>
        <v>設定値確認者-S2-ST1-P1</v>
      </c>
      <c r="W6" t="str">
        <f t="shared" si="2"/>
        <v>設定値確認日時-S2-ST1-P1</v>
      </c>
      <c r="X6" t="str">
        <f t="shared" si="2"/>
        <v>実績値確認者-S2-ST1-P1</v>
      </c>
      <c r="Y6" t="str">
        <f t="shared" si="2"/>
        <v>実績値確認日時-S2-ST1-P1</v>
      </c>
      <c r="Z6" t="str">
        <f t="shared" si="2"/>
        <v>ファイルパス-S2-ST1-P1</v>
      </c>
    </row>
    <row r="7" spans="1:26" x14ac:dyDescent="0.15">
      <c r="A7" t="s">
        <v>194</v>
      </c>
      <c r="B7" t="str">
        <f t="shared" si="0"/>
        <v>処方ID-S2</v>
      </c>
      <c r="C7" t="str">
        <f t="shared" si="0"/>
        <v>処方バージョン-S2</v>
      </c>
      <c r="D7" t="s">
        <v>198</v>
      </c>
      <c r="E7" t="s">
        <v>202</v>
      </c>
      <c r="F7" t="str">
        <f t="shared" si="1"/>
        <v>パラメータ名称-S2-ST1-P2</v>
      </c>
      <c r="G7" t="str">
        <f t="shared" si="2"/>
        <v>設定値-S2-ST1-P2</v>
      </c>
      <c r="H7" t="str">
        <f t="shared" si="2"/>
        <v>指図確定時確認-S2-ST1-P2</v>
      </c>
      <c r="I7" t="str">
        <f t="shared" si="2"/>
        <v>表示順-S2-ST1-P2</v>
      </c>
      <c r="J7" t="str">
        <f t="shared" si="2"/>
        <v>実績収集-S2-ST1-P2</v>
      </c>
      <c r="K7" t="str">
        <f t="shared" si="2"/>
        <v>パラメータ属性-S2-ST1-P2</v>
      </c>
      <c r="L7" t="str">
        <f t="shared" si="2"/>
        <v>ExapilotDL対象-S2-ST1-P2</v>
      </c>
      <c r="M7" t="str">
        <f t="shared" si="2"/>
        <v>パラメータ種別-S2-ST1-P2</v>
      </c>
      <c r="N7" t="str">
        <f t="shared" si="2"/>
        <v>備考-S2-ST1-P2</v>
      </c>
      <c r="O7" t="str">
        <f t="shared" si="2"/>
        <v>確定値-S2-ST1-P2</v>
      </c>
      <c r="P7" t="str">
        <f t="shared" si="2"/>
        <v>実績収集値-S2-ST1-P2</v>
      </c>
      <c r="Q7" t="str">
        <f t="shared" si="2"/>
        <v>実績確定値-S2-ST1-P2</v>
      </c>
      <c r="R7" t="str">
        <f t="shared" si="2"/>
        <v>設定値変更者-S2-ST1-P2</v>
      </c>
      <c r="S7" t="str">
        <f t="shared" si="2"/>
        <v>設定値変更日時-S2-ST1-P2</v>
      </c>
      <c r="T7" t="str">
        <f t="shared" si="2"/>
        <v>実績値変更者-S2-ST1-P2</v>
      </c>
      <c r="U7" t="str">
        <f t="shared" si="2"/>
        <v>実績値変更日時-S2-ST1-P2</v>
      </c>
      <c r="V7" t="str">
        <f t="shared" si="2"/>
        <v>設定値確認者-S2-ST1-P2</v>
      </c>
      <c r="W7" t="str">
        <f t="shared" si="2"/>
        <v>設定値確認日時-S2-ST1-P2</v>
      </c>
      <c r="X7" t="str">
        <f t="shared" si="2"/>
        <v>実績値確認者-S2-ST1-P2</v>
      </c>
      <c r="Y7" t="str">
        <f t="shared" si="2"/>
        <v>実績値確認日時-S2-ST1-P2</v>
      </c>
      <c r="Z7" t="str">
        <f t="shared" si="2"/>
        <v>ファイルパス-S2-ST1-P2</v>
      </c>
    </row>
    <row r="8" spans="1:26" x14ac:dyDescent="0.15">
      <c r="A8" t="s">
        <v>194</v>
      </c>
      <c r="B8" t="str">
        <f t="shared" si="0"/>
        <v>処方ID-S2</v>
      </c>
      <c r="C8" t="str">
        <f t="shared" si="0"/>
        <v>処方バージョン-S2</v>
      </c>
      <c r="D8" t="s">
        <v>200</v>
      </c>
      <c r="E8" t="s">
        <v>201</v>
      </c>
      <c r="F8" t="str">
        <f t="shared" si="1"/>
        <v>パラメータ名称-S2-ST2-P1</v>
      </c>
      <c r="G8" t="str">
        <f t="shared" si="2"/>
        <v>設定値-S2-ST2-P1</v>
      </c>
      <c r="H8" t="str">
        <f t="shared" si="2"/>
        <v>指図確定時確認-S2-ST2-P1</v>
      </c>
      <c r="I8" t="str">
        <f t="shared" si="2"/>
        <v>表示順-S2-ST2-P1</v>
      </c>
      <c r="J8" t="str">
        <f t="shared" si="2"/>
        <v>実績収集-S2-ST2-P1</v>
      </c>
      <c r="K8" t="str">
        <f t="shared" si="2"/>
        <v>パラメータ属性-S2-ST2-P1</v>
      </c>
      <c r="L8" t="str">
        <f t="shared" si="2"/>
        <v>ExapilotDL対象-S2-ST2-P1</v>
      </c>
      <c r="M8" t="str">
        <f t="shared" si="2"/>
        <v>パラメータ種別-S2-ST2-P1</v>
      </c>
      <c r="N8" t="str">
        <f t="shared" si="2"/>
        <v>備考-S2-ST2-P1</v>
      </c>
      <c r="O8" t="str">
        <f t="shared" si="2"/>
        <v>確定値-S2-ST2-P1</v>
      </c>
      <c r="P8" t="str">
        <f t="shared" si="2"/>
        <v>実績収集値-S2-ST2-P1</v>
      </c>
      <c r="Q8" t="str">
        <f t="shared" si="2"/>
        <v>実績確定値-S2-ST2-P1</v>
      </c>
      <c r="R8" t="str">
        <f t="shared" si="2"/>
        <v>設定値変更者-S2-ST2-P1</v>
      </c>
      <c r="S8" t="str">
        <f t="shared" si="2"/>
        <v>設定値変更日時-S2-ST2-P1</v>
      </c>
      <c r="T8" t="str">
        <f t="shared" si="2"/>
        <v>実績値変更者-S2-ST2-P1</v>
      </c>
      <c r="U8" t="str">
        <f t="shared" si="2"/>
        <v>実績値変更日時-S2-ST2-P1</v>
      </c>
      <c r="V8" t="str">
        <f t="shared" si="2"/>
        <v>設定値確認者-S2-ST2-P1</v>
      </c>
      <c r="W8" t="str">
        <f t="shared" si="2"/>
        <v>設定値確認日時-S2-ST2-P1</v>
      </c>
      <c r="X8" t="str">
        <f t="shared" si="2"/>
        <v>実績値確認者-S2-ST2-P1</v>
      </c>
      <c r="Y8" t="str">
        <f t="shared" si="2"/>
        <v>実績値確認日時-S2-ST2-P1</v>
      </c>
      <c r="Z8" t="str">
        <f t="shared" si="2"/>
        <v>ファイルパス-S2-ST2-P1</v>
      </c>
    </row>
    <row r="9" spans="1:26" x14ac:dyDescent="0.15">
      <c r="A9" t="s">
        <v>194</v>
      </c>
      <c r="B9" t="str">
        <f t="shared" si="0"/>
        <v>処方ID-S2</v>
      </c>
      <c r="C9" t="str">
        <f t="shared" si="0"/>
        <v>処方バージョン-S2</v>
      </c>
      <c r="D9" t="s">
        <v>200</v>
      </c>
      <c r="E9" t="s">
        <v>202</v>
      </c>
      <c r="F9" t="str">
        <f t="shared" si="1"/>
        <v>パラメータ名称-S2-ST2-P2</v>
      </c>
      <c r="G9" t="str">
        <f t="shared" si="2"/>
        <v>設定値-S2-ST2-P2</v>
      </c>
      <c r="H9" t="str">
        <f t="shared" si="2"/>
        <v>指図確定時確認-S2-ST2-P2</v>
      </c>
      <c r="I9" t="str">
        <f t="shared" si="2"/>
        <v>表示順-S2-ST2-P2</v>
      </c>
      <c r="J9" t="str">
        <f t="shared" si="2"/>
        <v>実績収集-S2-ST2-P2</v>
      </c>
      <c r="K9" t="str">
        <f t="shared" si="2"/>
        <v>パラメータ属性-S2-ST2-P2</v>
      </c>
      <c r="L9" t="str">
        <f t="shared" si="2"/>
        <v>ExapilotDL対象-S2-ST2-P2</v>
      </c>
      <c r="M9" t="str">
        <f t="shared" si="2"/>
        <v>パラメータ種別-S2-ST2-P2</v>
      </c>
      <c r="N9" t="str">
        <f t="shared" si="2"/>
        <v>備考-S2-ST2-P2</v>
      </c>
      <c r="O9" t="str">
        <f t="shared" si="2"/>
        <v>確定値-S2-ST2-P2</v>
      </c>
      <c r="P9" t="str">
        <f t="shared" si="2"/>
        <v>実績収集値-S2-ST2-P2</v>
      </c>
      <c r="Q9" t="str">
        <f t="shared" si="2"/>
        <v>実績確定値-S2-ST2-P2</v>
      </c>
      <c r="R9" t="str">
        <f t="shared" si="2"/>
        <v>設定値変更者-S2-ST2-P2</v>
      </c>
      <c r="S9" t="str">
        <f t="shared" si="2"/>
        <v>設定値変更日時-S2-ST2-P2</v>
      </c>
      <c r="T9" t="str">
        <f t="shared" si="2"/>
        <v>実績値変更者-S2-ST2-P2</v>
      </c>
      <c r="U9" t="str">
        <f t="shared" si="2"/>
        <v>実績値変更日時-S2-ST2-P2</v>
      </c>
      <c r="V9" t="str">
        <f t="shared" si="2"/>
        <v>設定値確認者-S2-ST2-P2</v>
      </c>
      <c r="W9" t="str">
        <f t="shared" si="2"/>
        <v>設定値確認日時-S2-ST2-P2</v>
      </c>
      <c r="X9" t="str">
        <f t="shared" si="2"/>
        <v>実績値確認者-S2-ST2-P2</v>
      </c>
      <c r="Y9" t="str">
        <f t="shared" si="2"/>
        <v>実績値確認日時-S2-ST2-P2</v>
      </c>
      <c r="Z9" t="str">
        <f t="shared" si="2"/>
        <v>ファイルパス-S2-ST2-P2</v>
      </c>
    </row>
    <row r="10" spans="1:26" x14ac:dyDescent="0.15">
      <c r="A10" t="s">
        <v>195</v>
      </c>
      <c r="B10" t="str">
        <f t="shared" si="0"/>
        <v>処方ID-S3</v>
      </c>
      <c r="C10" t="str">
        <f t="shared" si="0"/>
        <v>処方バージョン-S3</v>
      </c>
      <c r="D10" t="s">
        <v>198</v>
      </c>
      <c r="E10" t="s">
        <v>201</v>
      </c>
      <c r="F10" t="str">
        <f t="shared" si="1"/>
        <v>パラメータ名称-S3-ST1-P1</v>
      </c>
      <c r="G10" t="str">
        <f t="shared" si="2"/>
        <v>設定値-S3-ST1-P1</v>
      </c>
      <c r="H10" t="str">
        <f t="shared" si="2"/>
        <v>指図確定時確認-S3-ST1-P1</v>
      </c>
      <c r="I10" t="str">
        <f t="shared" si="2"/>
        <v>表示順-S3-ST1-P1</v>
      </c>
      <c r="J10" t="str">
        <f t="shared" si="2"/>
        <v>実績収集-S3-ST1-P1</v>
      </c>
      <c r="K10" t="str">
        <f t="shared" si="2"/>
        <v>パラメータ属性-S3-ST1-P1</v>
      </c>
      <c r="L10" t="str">
        <f t="shared" si="2"/>
        <v>ExapilotDL対象-S3-ST1-P1</v>
      </c>
      <c r="M10" t="str">
        <f t="shared" si="2"/>
        <v>パラメータ種別-S3-ST1-P1</v>
      </c>
      <c r="N10" t="str">
        <f t="shared" si="2"/>
        <v>備考-S3-ST1-P1</v>
      </c>
      <c r="O10" t="str">
        <f t="shared" si="2"/>
        <v>確定値-S3-ST1-P1</v>
      </c>
      <c r="P10" t="str">
        <f t="shared" si="2"/>
        <v>実績収集値-S3-ST1-P1</v>
      </c>
      <c r="Q10" t="str">
        <f t="shared" si="2"/>
        <v>実績確定値-S3-ST1-P1</v>
      </c>
      <c r="R10" t="str">
        <f t="shared" si="2"/>
        <v>設定値変更者-S3-ST1-P1</v>
      </c>
      <c r="S10" t="str">
        <f t="shared" si="2"/>
        <v>設定値変更日時-S3-ST1-P1</v>
      </c>
      <c r="T10" t="str">
        <f t="shared" si="2"/>
        <v>実績値変更者-S3-ST1-P1</v>
      </c>
      <c r="U10" t="str">
        <f t="shared" si="2"/>
        <v>実績値変更日時-S3-ST1-P1</v>
      </c>
      <c r="V10" t="str">
        <f t="shared" si="2"/>
        <v>設定値確認者-S3-ST1-P1</v>
      </c>
      <c r="W10" t="str">
        <f t="shared" si="2"/>
        <v>設定値確認日時-S3-ST1-P1</v>
      </c>
      <c r="X10" t="str">
        <f t="shared" si="2"/>
        <v>実績値確認者-S3-ST1-P1</v>
      </c>
      <c r="Y10" t="str">
        <f t="shared" si="2"/>
        <v>実績値確認日時-S3-ST1-P1</v>
      </c>
      <c r="Z10" t="str">
        <f t="shared" si="2"/>
        <v>ファイルパス-S3-ST1-P1</v>
      </c>
    </row>
    <row r="11" spans="1:26" x14ac:dyDescent="0.15">
      <c r="A11" t="s">
        <v>195</v>
      </c>
      <c r="B11" t="str">
        <f t="shared" si="0"/>
        <v>処方ID-S3</v>
      </c>
      <c r="C11" t="str">
        <f t="shared" si="0"/>
        <v>処方バージョン-S3</v>
      </c>
      <c r="D11" t="s">
        <v>198</v>
      </c>
      <c r="E11" t="s">
        <v>202</v>
      </c>
      <c r="F11" t="str">
        <f t="shared" si="1"/>
        <v>パラメータ名称-S3-ST1-P2</v>
      </c>
      <c r="G11" t="str">
        <f t="shared" si="2"/>
        <v>設定値-S3-ST1-P2</v>
      </c>
      <c r="H11" t="str">
        <f t="shared" si="2"/>
        <v>指図確定時確認-S3-ST1-P2</v>
      </c>
      <c r="I11" t="str">
        <f t="shared" si="2"/>
        <v>表示順-S3-ST1-P2</v>
      </c>
      <c r="J11" t="str">
        <f t="shared" si="2"/>
        <v>実績収集-S3-ST1-P2</v>
      </c>
      <c r="K11" t="str">
        <f t="shared" si="2"/>
        <v>パラメータ属性-S3-ST1-P2</v>
      </c>
      <c r="L11" t="str">
        <f t="shared" si="2"/>
        <v>ExapilotDL対象-S3-ST1-P2</v>
      </c>
      <c r="M11" t="str">
        <f t="shared" si="2"/>
        <v>パラメータ種別-S3-ST1-P2</v>
      </c>
      <c r="N11" t="str">
        <f t="shared" si="2"/>
        <v>備考-S3-ST1-P2</v>
      </c>
      <c r="O11" t="str">
        <f t="shared" si="2"/>
        <v>確定値-S3-ST1-P2</v>
      </c>
      <c r="P11" t="str">
        <f t="shared" si="2"/>
        <v>実績収集値-S3-ST1-P2</v>
      </c>
      <c r="Q11" t="str">
        <f t="shared" si="2"/>
        <v>実績確定値-S3-ST1-P2</v>
      </c>
      <c r="R11" t="str">
        <f t="shared" si="2"/>
        <v>設定値変更者-S3-ST1-P2</v>
      </c>
      <c r="S11" t="str">
        <f t="shared" si="2"/>
        <v>設定値変更日時-S3-ST1-P2</v>
      </c>
      <c r="T11" t="str">
        <f t="shared" si="2"/>
        <v>実績値変更者-S3-ST1-P2</v>
      </c>
      <c r="U11" t="str">
        <f t="shared" si="2"/>
        <v>実績値変更日時-S3-ST1-P2</v>
      </c>
      <c r="V11" t="str">
        <f t="shared" si="2"/>
        <v>設定値確認者-S3-ST1-P2</v>
      </c>
      <c r="W11" t="str">
        <f t="shared" si="2"/>
        <v>設定値確認日時-S3-ST1-P2</v>
      </c>
      <c r="X11" t="str">
        <f t="shared" si="2"/>
        <v>実績値確認者-S3-ST1-P2</v>
      </c>
      <c r="Y11" t="str">
        <f t="shared" si="2"/>
        <v>実績値確認日時-S3-ST1-P2</v>
      </c>
      <c r="Z11" t="str">
        <f t="shared" si="2"/>
        <v>ファイルパス-S3-ST1-P2</v>
      </c>
    </row>
    <row r="12" spans="1:26" x14ac:dyDescent="0.15">
      <c r="A12" t="s">
        <v>195</v>
      </c>
      <c r="B12" t="str">
        <f t="shared" si="0"/>
        <v>処方ID-S3</v>
      </c>
      <c r="C12" t="str">
        <f t="shared" si="0"/>
        <v>処方バージョン-S3</v>
      </c>
      <c r="D12" t="s">
        <v>200</v>
      </c>
      <c r="E12" t="s">
        <v>201</v>
      </c>
      <c r="F12" t="str">
        <f t="shared" si="1"/>
        <v>パラメータ名称-S3-ST2-P1</v>
      </c>
      <c r="G12" t="str">
        <f t="shared" si="2"/>
        <v>設定値-S3-ST2-P1</v>
      </c>
      <c r="H12" t="str">
        <f t="shared" si="2"/>
        <v>指図確定時確認-S3-ST2-P1</v>
      </c>
      <c r="I12" t="str">
        <f t="shared" si="2"/>
        <v>表示順-S3-ST2-P1</v>
      </c>
      <c r="J12" t="str">
        <f t="shared" si="2"/>
        <v>実績収集-S3-ST2-P1</v>
      </c>
      <c r="K12" t="str">
        <f t="shared" si="2"/>
        <v>パラメータ属性-S3-ST2-P1</v>
      </c>
      <c r="L12" t="str">
        <f t="shared" si="2"/>
        <v>ExapilotDL対象-S3-ST2-P1</v>
      </c>
      <c r="M12" t="str">
        <f t="shared" si="2"/>
        <v>パラメータ種別-S3-ST2-P1</v>
      </c>
      <c r="N12" t="str">
        <f t="shared" si="2"/>
        <v>備考-S3-ST2-P1</v>
      </c>
      <c r="O12" t="str">
        <f t="shared" si="2"/>
        <v>確定値-S3-ST2-P1</v>
      </c>
      <c r="P12" t="str">
        <f t="shared" si="2"/>
        <v>実績収集値-S3-ST2-P1</v>
      </c>
      <c r="Q12" t="str">
        <f t="shared" si="2"/>
        <v>実績確定値-S3-ST2-P1</v>
      </c>
      <c r="R12" t="str">
        <f t="shared" si="2"/>
        <v>設定値変更者-S3-ST2-P1</v>
      </c>
      <c r="S12" t="str">
        <f t="shared" si="2"/>
        <v>設定値変更日時-S3-ST2-P1</v>
      </c>
      <c r="T12" t="str">
        <f t="shared" si="2"/>
        <v>実績値変更者-S3-ST2-P1</v>
      </c>
      <c r="U12" t="str">
        <f t="shared" si="2"/>
        <v>実績値変更日時-S3-ST2-P1</v>
      </c>
      <c r="V12" t="str">
        <f t="shared" si="2"/>
        <v>設定値確認者-S3-ST2-P1</v>
      </c>
      <c r="W12" t="str">
        <f t="shared" si="2"/>
        <v>設定値確認日時-S3-ST2-P1</v>
      </c>
      <c r="X12" t="str">
        <f t="shared" si="2"/>
        <v>実績値確認者-S3-ST2-P1</v>
      </c>
      <c r="Y12" t="str">
        <f t="shared" si="2"/>
        <v>実績値確認日時-S3-ST2-P1</v>
      </c>
      <c r="Z12" t="str">
        <f t="shared" si="2"/>
        <v>ファイルパス-S3-ST2-P1</v>
      </c>
    </row>
    <row r="13" spans="1:26" x14ac:dyDescent="0.15">
      <c r="A13" t="s">
        <v>195</v>
      </c>
      <c r="B13" t="str">
        <f t="shared" si="0"/>
        <v>処方ID-S3</v>
      </c>
      <c r="C13" t="str">
        <f t="shared" si="0"/>
        <v>処方バージョン-S3</v>
      </c>
      <c r="D13" t="s">
        <v>200</v>
      </c>
      <c r="E13" t="s">
        <v>202</v>
      </c>
      <c r="F13" t="str">
        <f t="shared" si="1"/>
        <v>パラメータ名称-S3-ST2-P2</v>
      </c>
      <c r="G13" t="str">
        <f t="shared" si="2"/>
        <v>設定値-S3-ST2-P2</v>
      </c>
      <c r="H13" t="str">
        <f t="shared" si="2"/>
        <v>指図確定時確認-S3-ST2-P2</v>
      </c>
      <c r="I13" t="str">
        <f t="shared" si="2"/>
        <v>表示順-S3-ST2-P2</v>
      </c>
      <c r="J13" t="str">
        <f t="shared" si="2"/>
        <v>実績収集-S3-ST2-P2</v>
      </c>
      <c r="K13" t="str">
        <f t="shared" si="2"/>
        <v>パラメータ属性-S3-ST2-P2</v>
      </c>
      <c r="L13" t="str">
        <f t="shared" si="2"/>
        <v>ExapilotDL対象-S3-ST2-P2</v>
      </c>
      <c r="M13" t="str">
        <f t="shared" si="2"/>
        <v>パラメータ種別-S3-ST2-P2</v>
      </c>
      <c r="N13" t="str">
        <f t="shared" si="2"/>
        <v>備考-S3-ST2-P2</v>
      </c>
      <c r="O13" t="str">
        <f t="shared" si="2"/>
        <v>確定値-S3-ST2-P2</v>
      </c>
      <c r="P13" t="str">
        <f t="shared" si="2"/>
        <v>実績収集値-S3-ST2-P2</v>
      </c>
      <c r="Q13" t="str">
        <f t="shared" si="2"/>
        <v>実績確定値-S3-ST2-P2</v>
      </c>
      <c r="R13" t="str">
        <f t="shared" si="2"/>
        <v>設定値変更者-S3-ST2-P2</v>
      </c>
      <c r="S13" t="str">
        <f t="shared" si="2"/>
        <v>設定値変更日時-S3-ST2-P2</v>
      </c>
      <c r="T13" t="str">
        <f t="shared" si="2"/>
        <v>実績値変更者-S3-ST2-P2</v>
      </c>
      <c r="U13" t="str">
        <f t="shared" si="2"/>
        <v>実績値変更日時-S3-ST2-P2</v>
      </c>
      <c r="V13" t="str">
        <f t="shared" si="2"/>
        <v>設定値確認者-S3-ST2-P2</v>
      </c>
      <c r="W13" t="str">
        <f t="shared" si="2"/>
        <v>設定値確認日時-S3-ST2-P2</v>
      </c>
      <c r="X13" t="str">
        <f t="shared" si="2"/>
        <v>実績値確認者-S3-ST2-P2</v>
      </c>
      <c r="Y13" t="str">
        <f t="shared" si="2"/>
        <v>実績値確認日時-S3-ST2-P2</v>
      </c>
      <c r="Z13" t="str">
        <f t="shared" si="2"/>
        <v>ファイルパス-S3-ST2-P2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13"/>
  <sheetViews>
    <sheetView zoomScale="80" zoomScaleNormal="80" workbookViewId="0"/>
  </sheetViews>
  <sheetFormatPr defaultRowHeight="13.5" x14ac:dyDescent="0.15"/>
  <cols>
    <col min="1" max="1" width="9.625" bestFit="1" customWidth="1"/>
    <col min="2" max="2" width="13.625" bestFit="1" customWidth="1"/>
    <col min="3" max="3" width="10.125" bestFit="1" customWidth="1"/>
    <col min="4" max="4" width="12" bestFit="1" customWidth="1"/>
    <col min="5" max="27" width="3.625" customWidth="1"/>
  </cols>
  <sheetData>
    <row r="1" spans="1:27" x14ac:dyDescent="0.15">
      <c r="A1" s="3" t="s">
        <v>227</v>
      </c>
      <c r="B1" s="4" t="s">
        <v>0</v>
      </c>
      <c r="C1" s="4" t="s">
        <v>78</v>
      </c>
      <c r="D1" s="4" t="s">
        <v>95</v>
      </c>
      <c r="E1" s="1" t="s">
        <v>2</v>
      </c>
      <c r="F1" s="1" t="s">
        <v>158</v>
      </c>
      <c r="G1" s="1" t="s">
        <v>68</v>
      </c>
      <c r="H1" s="1" t="s">
        <v>35</v>
      </c>
      <c r="I1" s="1" t="s">
        <v>37</v>
      </c>
      <c r="J1" s="1" t="s">
        <v>159</v>
      </c>
      <c r="K1" s="1" t="s">
        <v>160</v>
      </c>
      <c r="L1" s="1" t="s">
        <v>161</v>
      </c>
      <c r="M1" s="1" t="s">
        <v>162</v>
      </c>
      <c r="N1" s="1" t="s">
        <v>163</v>
      </c>
      <c r="O1" s="1" t="s">
        <v>165</v>
      </c>
      <c r="P1" s="1" t="s">
        <v>166</v>
      </c>
      <c r="Q1" s="1" t="s">
        <v>167</v>
      </c>
      <c r="R1" s="1" t="s">
        <v>168</v>
      </c>
      <c r="S1" s="1" t="s">
        <v>169</v>
      </c>
      <c r="T1" s="1" t="s">
        <v>170</v>
      </c>
      <c r="U1" s="1" t="s">
        <v>171</v>
      </c>
      <c r="V1" s="1" t="s">
        <v>172</v>
      </c>
      <c r="W1" s="1" t="s">
        <v>173</v>
      </c>
      <c r="X1" s="1" t="s">
        <v>174</v>
      </c>
      <c r="Y1" s="1" t="s">
        <v>175</v>
      </c>
      <c r="Z1" s="1" t="s">
        <v>22</v>
      </c>
      <c r="AA1" s="1" t="s">
        <v>176</v>
      </c>
    </row>
    <row r="2" spans="1:27" x14ac:dyDescent="0.15">
      <c r="A2" t="s">
        <v>215</v>
      </c>
      <c r="B2" t="s">
        <v>193</v>
      </c>
      <c r="C2" t="s">
        <v>198</v>
      </c>
      <c r="D2" t="s">
        <v>201</v>
      </c>
      <c r="E2" t="str">
        <f>E$1&amp;"-"&amp;$B2&amp;"-"&amp;$C2&amp;"-"&amp;$D2</f>
        <v>品目コード-S1-ST1-P1</v>
      </c>
      <c r="F2" t="str">
        <f t="shared" ref="F2:AA13" si="0">F$1&amp;"-"&amp;$B2&amp;"-"&amp;$C2&amp;"-"&amp;$D2</f>
        <v>受入ロット-S1-ST1-P1</v>
      </c>
      <c r="G2" t="str">
        <f t="shared" si="0"/>
        <v>製造ロット-S1-ST1-P1</v>
      </c>
      <c r="H2" t="str">
        <f t="shared" si="0"/>
        <v>出荷ロット-S1-ST1-P1</v>
      </c>
      <c r="I2" t="str">
        <f t="shared" si="0"/>
        <v>在庫ユニークキー-S1-ST1-P1</v>
      </c>
      <c r="J2" t="str">
        <f t="shared" si="0"/>
        <v>ロケーションID-S1-ST1-P1</v>
      </c>
      <c r="K2" t="str">
        <f t="shared" si="0"/>
        <v>入荷済フラグ-S1-ST1-P1</v>
      </c>
      <c r="L2" t="str">
        <f t="shared" si="0"/>
        <v>入荷予定No-S1-ST1-P1</v>
      </c>
      <c r="M2" t="str">
        <f t="shared" si="0"/>
        <v>半製品製造済フラグ-S1-ST1-P1</v>
      </c>
      <c r="N2" t="str">
        <f t="shared" si="0"/>
        <v>半製品製造予定指図番号-S1-ST1-P1</v>
      </c>
      <c r="O2" t="str">
        <f t="shared" si="0"/>
        <v>引当個体識別-S1-ST1-P1</v>
      </c>
      <c r="P2" t="str">
        <f t="shared" si="0"/>
        <v>引当数量-S1-ST1-P1</v>
      </c>
      <c r="Q2" t="str">
        <f t="shared" si="0"/>
        <v>引当数量（荷姿単位）-S1-ST1-P1</v>
      </c>
      <c r="R2" t="str">
        <f t="shared" si="0"/>
        <v>引当ステータス-S1-ST1-P1</v>
      </c>
      <c r="S2" t="str">
        <f t="shared" si="0"/>
        <v>引当処理区分-S1-ST1-P1</v>
      </c>
      <c r="T2" t="str">
        <f t="shared" si="0"/>
        <v>自動引当対象フラグ-S1-ST1-P1</v>
      </c>
      <c r="U2" t="str">
        <f t="shared" si="0"/>
        <v>移庫指図No-S1-ST1-P1</v>
      </c>
      <c r="V2" t="str">
        <f t="shared" si="0"/>
        <v>移庫まとめ有無-S1-ST1-P1</v>
      </c>
      <c r="W2" t="str">
        <f t="shared" si="0"/>
        <v>移庫備考-S1-ST1-P1</v>
      </c>
      <c r="X2" t="str">
        <f t="shared" si="0"/>
        <v>生産課-S1-ST1-P1</v>
      </c>
      <c r="Y2" t="str">
        <f t="shared" si="0"/>
        <v>在庫ステータス-S1-ST1-P1</v>
      </c>
      <c r="Z2" t="str">
        <f t="shared" si="0"/>
        <v>荷姿コード-S1-ST1-P1</v>
      </c>
      <c r="AA2" t="str">
        <f t="shared" si="0"/>
        <v>個数-S1-ST1-P1</v>
      </c>
    </row>
    <row r="3" spans="1:27" x14ac:dyDescent="0.15">
      <c r="A3" t="s">
        <v>216</v>
      </c>
      <c r="B3" t="s">
        <v>193</v>
      </c>
      <c r="C3" t="s">
        <v>198</v>
      </c>
      <c r="D3" t="s">
        <v>202</v>
      </c>
      <c r="E3" t="str">
        <f t="shared" ref="E3:T13" si="1">E$1&amp;"-"&amp;$B3&amp;"-"&amp;$C3&amp;"-"&amp;$D3</f>
        <v>品目コード-S1-ST1-P2</v>
      </c>
      <c r="F3" t="str">
        <f t="shared" si="1"/>
        <v>受入ロット-S1-ST1-P2</v>
      </c>
      <c r="G3" t="str">
        <f t="shared" si="1"/>
        <v>製造ロット-S1-ST1-P2</v>
      </c>
      <c r="H3" t="str">
        <f t="shared" si="1"/>
        <v>出荷ロット-S1-ST1-P2</v>
      </c>
      <c r="I3" t="str">
        <f t="shared" si="1"/>
        <v>在庫ユニークキー-S1-ST1-P2</v>
      </c>
      <c r="J3" t="str">
        <f t="shared" si="1"/>
        <v>ロケーションID-S1-ST1-P2</v>
      </c>
      <c r="K3" t="str">
        <f t="shared" si="1"/>
        <v>入荷済フラグ-S1-ST1-P2</v>
      </c>
      <c r="L3" t="str">
        <f t="shared" si="1"/>
        <v>入荷予定No-S1-ST1-P2</v>
      </c>
      <c r="M3" t="str">
        <f t="shared" si="1"/>
        <v>半製品製造済フラグ-S1-ST1-P2</v>
      </c>
      <c r="N3" t="str">
        <f t="shared" si="1"/>
        <v>半製品製造予定指図番号-S1-ST1-P2</v>
      </c>
      <c r="O3" t="str">
        <f t="shared" si="1"/>
        <v>引当個体識別-S1-ST1-P2</v>
      </c>
      <c r="P3" t="str">
        <f t="shared" si="1"/>
        <v>引当数量-S1-ST1-P2</v>
      </c>
      <c r="Q3" t="str">
        <f t="shared" si="1"/>
        <v>引当数量（荷姿単位）-S1-ST1-P2</v>
      </c>
      <c r="R3" t="str">
        <f t="shared" si="1"/>
        <v>引当ステータス-S1-ST1-P2</v>
      </c>
      <c r="S3" t="str">
        <f t="shared" si="1"/>
        <v>引当処理区分-S1-ST1-P2</v>
      </c>
      <c r="T3" t="str">
        <f t="shared" si="1"/>
        <v>自動引当対象フラグ-S1-ST1-P2</v>
      </c>
      <c r="U3" t="str">
        <f t="shared" si="0"/>
        <v>移庫指図No-S1-ST1-P2</v>
      </c>
      <c r="V3" t="str">
        <f t="shared" si="0"/>
        <v>移庫まとめ有無-S1-ST1-P2</v>
      </c>
      <c r="W3" t="str">
        <f t="shared" si="0"/>
        <v>移庫備考-S1-ST1-P2</v>
      </c>
      <c r="X3" t="str">
        <f t="shared" si="0"/>
        <v>生産課-S1-ST1-P2</v>
      </c>
      <c r="Y3" t="str">
        <f t="shared" si="0"/>
        <v>在庫ステータス-S1-ST1-P2</v>
      </c>
      <c r="Z3" t="str">
        <f t="shared" si="0"/>
        <v>荷姿コード-S1-ST1-P2</v>
      </c>
      <c r="AA3" t="str">
        <f t="shared" si="0"/>
        <v>個数-S1-ST1-P2</v>
      </c>
    </row>
    <row r="4" spans="1:27" x14ac:dyDescent="0.15">
      <c r="A4" t="s">
        <v>217</v>
      </c>
      <c r="B4" t="s">
        <v>193</v>
      </c>
      <c r="C4" t="s">
        <v>200</v>
      </c>
      <c r="D4" t="s">
        <v>201</v>
      </c>
      <c r="E4" t="str">
        <f t="shared" si="1"/>
        <v>品目コード-S1-ST2-P1</v>
      </c>
      <c r="F4" t="str">
        <f t="shared" si="0"/>
        <v>受入ロット-S1-ST2-P1</v>
      </c>
      <c r="G4" t="str">
        <f t="shared" si="0"/>
        <v>製造ロット-S1-ST2-P1</v>
      </c>
      <c r="H4" t="str">
        <f t="shared" si="0"/>
        <v>出荷ロット-S1-ST2-P1</v>
      </c>
      <c r="I4" t="str">
        <f t="shared" si="0"/>
        <v>在庫ユニークキー-S1-ST2-P1</v>
      </c>
      <c r="J4" t="str">
        <f t="shared" si="0"/>
        <v>ロケーションID-S1-ST2-P1</v>
      </c>
      <c r="K4" t="str">
        <f t="shared" si="0"/>
        <v>入荷済フラグ-S1-ST2-P1</v>
      </c>
      <c r="L4" t="str">
        <f t="shared" si="0"/>
        <v>入荷予定No-S1-ST2-P1</v>
      </c>
      <c r="M4" t="str">
        <f t="shared" si="0"/>
        <v>半製品製造済フラグ-S1-ST2-P1</v>
      </c>
      <c r="N4" t="str">
        <f t="shared" si="0"/>
        <v>半製品製造予定指図番号-S1-ST2-P1</v>
      </c>
      <c r="O4" t="str">
        <f t="shared" si="0"/>
        <v>引当個体識別-S1-ST2-P1</v>
      </c>
      <c r="P4" t="str">
        <f t="shared" si="0"/>
        <v>引当数量-S1-ST2-P1</v>
      </c>
      <c r="Q4" t="str">
        <f t="shared" si="0"/>
        <v>引当数量（荷姿単位）-S1-ST2-P1</v>
      </c>
      <c r="R4" t="str">
        <f t="shared" si="0"/>
        <v>引当ステータス-S1-ST2-P1</v>
      </c>
      <c r="S4" t="str">
        <f t="shared" si="0"/>
        <v>引当処理区分-S1-ST2-P1</v>
      </c>
      <c r="T4" t="str">
        <f t="shared" si="0"/>
        <v>自動引当対象フラグ-S1-ST2-P1</v>
      </c>
      <c r="U4" t="str">
        <f t="shared" si="0"/>
        <v>移庫指図No-S1-ST2-P1</v>
      </c>
      <c r="V4" t="str">
        <f t="shared" si="0"/>
        <v>移庫まとめ有無-S1-ST2-P1</v>
      </c>
      <c r="W4" t="str">
        <f t="shared" si="0"/>
        <v>移庫備考-S1-ST2-P1</v>
      </c>
      <c r="X4" t="str">
        <f t="shared" si="0"/>
        <v>生産課-S1-ST2-P1</v>
      </c>
      <c r="Y4" t="str">
        <f t="shared" si="0"/>
        <v>在庫ステータス-S1-ST2-P1</v>
      </c>
      <c r="Z4" t="str">
        <f t="shared" si="0"/>
        <v>荷姿コード-S1-ST2-P1</v>
      </c>
      <c r="AA4" t="str">
        <f t="shared" si="0"/>
        <v>個数-S1-ST2-P1</v>
      </c>
    </row>
    <row r="5" spans="1:27" x14ac:dyDescent="0.15">
      <c r="A5" t="s">
        <v>218</v>
      </c>
      <c r="B5" t="s">
        <v>193</v>
      </c>
      <c r="C5" t="s">
        <v>200</v>
      </c>
      <c r="D5" t="s">
        <v>202</v>
      </c>
      <c r="E5" t="str">
        <f t="shared" si="1"/>
        <v>品目コード-S1-ST2-P2</v>
      </c>
      <c r="F5" t="str">
        <f t="shared" si="0"/>
        <v>受入ロット-S1-ST2-P2</v>
      </c>
      <c r="G5" t="str">
        <f t="shared" si="0"/>
        <v>製造ロット-S1-ST2-P2</v>
      </c>
      <c r="H5" t="str">
        <f t="shared" si="0"/>
        <v>出荷ロット-S1-ST2-P2</v>
      </c>
      <c r="I5" t="str">
        <f t="shared" si="0"/>
        <v>在庫ユニークキー-S1-ST2-P2</v>
      </c>
      <c r="J5" t="str">
        <f t="shared" si="0"/>
        <v>ロケーションID-S1-ST2-P2</v>
      </c>
      <c r="K5" t="str">
        <f t="shared" si="0"/>
        <v>入荷済フラグ-S1-ST2-P2</v>
      </c>
      <c r="L5" t="str">
        <f t="shared" si="0"/>
        <v>入荷予定No-S1-ST2-P2</v>
      </c>
      <c r="M5" t="str">
        <f t="shared" si="0"/>
        <v>半製品製造済フラグ-S1-ST2-P2</v>
      </c>
      <c r="N5" t="str">
        <f t="shared" si="0"/>
        <v>半製品製造予定指図番号-S1-ST2-P2</v>
      </c>
      <c r="O5" t="str">
        <f t="shared" si="0"/>
        <v>引当個体識別-S1-ST2-P2</v>
      </c>
      <c r="P5" t="str">
        <f t="shared" si="0"/>
        <v>引当数量-S1-ST2-P2</v>
      </c>
      <c r="Q5" t="str">
        <f t="shared" si="0"/>
        <v>引当数量（荷姿単位）-S1-ST2-P2</v>
      </c>
      <c r="R5" t="str">
        <f t="shared" si="0"/>
        <v>引当ステータス-S1-ST2-P2</v>
      </c>
      <c r="S5" t="str">
        <f t="shared" si="0"/>
        <v>引当処理区分-S1-ST2-P2</v>
      </c>
      <c r="T5" t="str">
        <f t="shared" si="0"/>
        <v>自動引当対象フラグ-S1-ST2-P2</v>
      </c>
      <c r="U5" t="str">
        <f t="shared" si="0"/>
        <v>移庫指図No-S1-ST2-P2</v>
      </c>
      <c r="V5" t="str">
        <f t="shared" si="0"/>
        <v>移庫まとめ有無-S1-ST2-P2</v>
      </c>
      <c r="W5" t="str">
        <f t="shared" si="0"/>
        <v>移庫備考-S1-ST2-P2</v>
      </c>
      <c r="X5" t="str">
        <f t="shared" si="0"/>
        <v>生産課-S1-ST2-P2</v>
      </c>
      <c r="Y5" t="str">
        <f t="shared" si="0"/>
        <v>在庫ステータス-S1-ST2-P2</v>
      </c>
      <c r="Z5" t="str">
        <f t="shared" si="0"/>
        <v>荷姿コード-S1-ST2-P2</v>
      </c>
      <c r="AA5" t="str">
        <f t="shared" si="0"/>
        <v>個数-S1-ST2-P2</v>
      </c>
    </row>
    <row r="6" spans="1:27" x14ac:dyDescent="0.15">
      <c r="A6" t="s">
        <v>219</v>
      </c>
      <c r="B6" t="s">
        <v>194</v>
      </c>
      <c r="C6" t="s">
        <v>198</v>
      </c>
      <c r="D6" t="s">
        <v>201</v>
      </c>
      <c r="E6" t="str">
        <f t="shared" si="1"/>
        <v>品目コード-S2-ST1-P1</v>
      </c>
      <c r="F6" t="str">
        <f t="shared" si="0"/>
        <v>受入ロット-S2-ST1-P1</v>
      </c>
      <c r="G6" t="str">
        <f t="shared" si="0"/>
        <v>製造ロット-S2-ST1-P1</v>
      </c>
      <c r="H6" t="str">
        <f t="shared" si="0"/>
        <v>出荷ロット-S2-ST1-P1</v>
      </c>
      <c r="I6" t="str">
        <f t="shared" si="0"/>
        <v>在庫ユニークキー-S2-ST1-P1</v>
      </c>
      <c r="J6" t="str">
        <f t="shared" si="0"/>
        <v>ロケーションID-S2-ST1-P1</v>
      </c>
      <c r="K6" t="str">
        <f t="shared" si="0"/>
        <v>入荷済フラグ-S2-ST1-P1</v>
      </c>
      <c r="L6" t="str">
        <f t="shared" si="0"/>
        <v>入荷予定No-S2-ST1-P1</v>
      </c>
      <c r="M6" t="str">
        <f t="shared" si="0"/>
        <v>半製品製造済フラグ-S2-ST1-P1</v>
      </c>
      <c r="N6" t="str">
        <f t="shared" si="0"/>
        <v>半製品製造予定指図番号-S2-ST1-P1</v>
      </c>
      <c r="O6" t="str">
        <f t="shared" si="0"/>
        <v>引当個体識別-S2-ST1-P1</v>
      </c>
      <c r="P6" t="str">
        <f t="shared" si="0"/>
        <v>引当数量-S2-ST1-P1</v>
      </c>
      <c r="Q6" t="str">
        <f t="shared" si="0"/>
        <v>引当数量（荷姿単位）-S2-ST1-P1</v>
      </c>
      <c r="R6" t="str">
        <f t="shared" si="0"/>
        <v>引当ステータス-S2-ST1-P1</v>
      </c>
      <c r="S6" t="str">
        <f t="shared" si="0"/>
        <v>引当処理区分-S2-ST1-P1</v>
      </c>
      <c r="T6" t="str">
        <f t="shared" si="0"/>
        <v>自動引当対象フラグ-S2-ST1-P1</v>
      </c>
      <c r="U6" t="str">
        <f t="shared" si="0"/>
        <v>移庫指図No-S2-ST1-P1</v>
      </c>
      <c r="V6" t="str">
        <f t="shared" si="0"/>
        <v>移庫まとめ有無-S2-ST1-P1</v>
      </c>
      <c r="W6" t="str">
        <f t="shared" si="0"/>
        <v>移庫備考-S2-ST1-P1</v>
      </c>
      <c r="X6" t="str">
        <f t="shared" si="0"/>
        <v>生産課-S2-ST1-P1</v>
      </c>
      <c r="Y6" t="str">
        <f t="shared" si="0"/>
        <v>在庫ステータス-S2-ST1-P1</v>
      </c>
      <c r="Z6" t="str">
        <f t="shared" si="0"/>
        <v>荷姿コード-S2-ST1-P1</v>
      </c>
      <c r="AA6" t="str">
        <f t="shared" si="0"/>
        <v>個数-S2-ST1-P1</v>
      </c>
    </row>
    <row r="7" spans="1:27" x14ac:dyDescent="0.15">
      <c r="A7" t="s">
        <v>220</v>
      </c>
      <c r="B7" t="s">
        <v>194</v>
      </c>
      <c r="C7" t="s">
        <v>198</v>
      </c>
      <c r="D7" t="s">
        <v>202</v>
      </c>
      <c r="E7" t="str">
        <f t="shared" si="1"/>
        <v>品目コード-S2-ST1-P2</v>
      </c>
      <c r="F7" t="str">
        <f t="shared" si="0"/>
        <v>受入ロット-S2-ST1-P2</v>
      </c>
      <c r="G7" t="str">
        <f t="shared" si="0"/>
        <v>製造ロット-S2-ST1-P2</v>
      </c>
      <c r="H7" t="str">
        <f t="shared" si="0"/>
        <v>出荷ロット-S2-ST1-P2</v>
      </c>
      <c r="I7" t="str">
        <f t="shared" si="0"/>
        <v>在庫ユニークキー-S2-ST1-P2</v>
      </c>
      <c r="J7" t="str">
        <f t="shared" si="0"/>
        <v>ロケーションID-S2-ST1-P2</v>
      </c>
      <c r="K7" t="str">
        <f t="shared" si="0"/>
        <v>入荷済フラグ-S2-ST1-P2</v>
      </c>
      <c r="L7" t="str">
        <f t="shared" si="0"/>
        <v>入荷予定No-S2-ST1-P2</v>
      </c>
      <c r="M7" t="str">
        <f t="shared" si="0"/>
        <v>半製品製造済フラグ-S2-ST1-P2</v>
      </c>
      <c r="N7" t="str">
        <f t="shared" si="0"/>
        <v>半製品製造予定指図番号-S2-ST1-P2</v>
      </c>
      <c r="O7" t="str">
        <f t="shared" si="0"/>
        <v>引当個体識別-S2-ST1-P2</v>
      </c>
      <c r="P7" t="str">
        <f t="shared" si="0"/>
        <v>引当数量-S2-ST1-P2</v>
      </c>
      <c r="Q7" t="str">
        <f t="shared" si="0"/>
        <v>引当数量（荷姿単位）-S2-ST1-P2</v>
      </c>
      <c r="R7" t="str">
        <f t="shared" si="0"/>
        <v>引当ステータス-S2-ST1-P2</v>
      </c>
      <c r="S7" t="str">
        <f t="shared" si="0"/>
        <v>引当処理区分-S2-ST1-P2</v>
      </c>
      <c r="T7" t="str">
        <f t="shared" si="0"/>
        <v>自動引当対象フラグ-S2-ST1-P2</v>
      </c>
      <c r="U7" t="str">
        <f t="shared" si="0"/>
        <v>移庫指図No-S2-ST1-P2</v>
      </c>
      <c r="V7" t="str">
        <f t="shared" si="0"/>
        <v>移庫まとめ有無-S2-ST1-P2</v>
      </c>
      <c r="W7" t="str">
        <f t="shared" si="0"/>
        <v>移庫備考-S2-ST1-P2</v>
      </c>
      <c r="X7" t="str">
        <f t="shared" si="0"/>
        <v>生産課-S2-ST1-P2</v>
      </c>
      <c r="Y7" t="str">
        <f t="shared" si="0"/>
        <v>在庫ステータス-S2-ST1-P2</v>
      </c>
      <c r="Z7" t="str">
        <f t="shared" si="0"/>
        <v>荷姿コード-S2-ST1-P2</v>
      </c>
      <c r="AA7" t="str">
        <f t="shared" si="0"/>
        <v>個数-S2-ST1-P2</v>
      </c>
    </row>
    <row r="8" spans="1:27" x14ac:dyDescent="0.15">
      <c r="A8" t="s">
        <v>221</v>
      </c>
      <c r="B8" t="s">
        <v>194</v>
      </c>
      <c r="C8" t="s">
        <v>200</v>
      </c>
      <c r="D8" t="s">
        <v>201</v>
      </c>
      <c r="E8" t="str">
        <f t="shared" si="1"/>
        <v>品目コード-S2-ST2-P1</v>
      </c>
      <c r="F8" t="str">
        <f t="shared" si="0"/>
        <v>受入ロット-S2-ST2-P1</v>
      </c>
      <c r="G8" t="str">
        <f t="shared" si="0"/>
        <v>製造ロット-S2-ST2-P1</v>
      </c>
      <c r="H8" t="str">
        <f t="shared" si="0"/>
        <v>出荷ロット-S2-ST2-P1</v>
      </c>
      <c r="I8" t="str">
        <f t="shared" si="0"/>
        <v>在庫ユニークキー-S2-ST2-P1</v>
      </c>
      <c r="J8" t="str">
        <f t="shared" si="0"/>
        <v>ロケーションID-S2-ST2-P1</v>
      </c>
      <c r="K8" t="str">
        <f t="shared" si="0"/>
        <v>入荷済フラグ-S2-ST2-P1</v>
      </c>
      <c r="L8" t="str">
        <f t="shared" si="0"/>
        <v>入荷予定No-S2-ST2-P1</v>
      </c>
      <c r="M8" t="str">
        <f t="shared" si="0"/>
        <v>半製品製造済フラグ-S2-ST2-P1</v>
      </c>
      <c r="N8" t="str">
        <f t="shared" si="0"/>
        <v>半製品製造予定指図番号-S2-ST2-P1</v>
      </c>
      <c r="O8" t="str">
        <f t="shared" si="0"/>
        <v>引当個体識別-S2-ST2-P1</v>
      </c>
      <c r="P8" t="str">
        <f t="shared" si="0"/>
        <v>引当数量-S2-ST2-P1</v>
      </c>
      <c r="Q8" t="str">
        <f t="shared" si="0"/>
        <v>引当数量（荷姿単位）-S2-ST2-P1</v>
      </c>
      <c r="R8" t="str">
        <f t="shared" si="0"/>
        <v>引当ステータス-S2-ST2-P1</v>
      </c>
      <c r="S8" t="str">
        <f t="shared" si="0"/>
        <v>引当処理区分-S2-ST2-P1</v>
      </c>
      <c r="T8" t="str">
        <f t="shared" si="0"/>
        <v>自動引当対象フラグ-S2-ST2-P1</v>
      </c>
      <c r="U8" t="str">
        <f t="shared" si="0"/>
        <v>移庫指図No-S2-ST2-P1</v>
      </c>
      <c r="V8" t="str">
        <f t="shared" si="0"/>
        <v>移庫まとめ有無-S2-ST2-P1</v>
      </c>
      <c r="W8" t="str">
        <f t="shared" si="0"/>
        <v>移庫備考-S2-ST2-P1</v>
      </c>
      <c r="X8" t="str">
        <f t="shared" si="0"/>
        <v>生産課-S2-ST2-P1</v>
      </c>
      <c r="Y8" t="str">
        <f t="shared" si="0"/>
        <v>在庫ステータス-S2-ST2-P1</v>
      </c>
      <c r="Z8" t="str">
        <f t="shared" si="0"/>
        <v>荷姿コード-S2-ST2-P1</v>
      </c>
      <c r="AA8" t="str">
        <f t="shared" si="0"/>
        <v>個数-S2-ST2-P1</v>
      </c>
    </row>
    <row r="9" spans="1:27" x14ac:dyDescent="0.15">
      <c r="A9" t="s">
        <v>222</v>
      </c>
      <c r="B9" t="s">
        <v>194</v>
      </c>
      <c r="C9" t="s">
        <v>200</v>
      </c>
      <c r="D9" t="s">
        <v>202</v>
      </c>
      <c r="E9" t="str">
        <f t="shared" si="1"/>
        <v>品目コード-S2-ST2-P2</v>
      </c>
      <c r="F9" t="str">
        <f t="shared" si="0"/>
        <v>受入ロット-S2-ST2-P2</v>
      </c>
      <c r="G9" t="str">
        <f t="shared" si="0"/>
        <v>製造ロット-S2-ST2-P2</v>
      </c>
      <c r="H9" t="str">
        <f t="shared" si="0"/>
        <v>出荷ロット-S2-ST2-P2</v>
      </c>
      <c r="I9" t="str">
        <f t="shared" si="0"/>
        <v>在庫ユニークキー-S2-ST2-P2</v>
      </c>
      <c r="J9" t="str">
        <f t="shared" si="0"/>
        <v>ロケーションID-S2-ST2-P2</v>
      </c>
      <c r="K9" t="str">
        <f t="shared" si="0"/>
        <v>入荷済フラグ-S2-ST2-P2</v>
      </c>
      <c r="L9" t="str">
        <f t="shared" si="0"/>
        <v>入荷予定No-S2-ST2-P2</v>
      </c>
      <c r="M9" t="str">
        <f t="shared" si="0"/>
        <v>半製品製造済フラグ-S2-ST2-P2</v>
      </c>
      <c r="N9" t="str">
        <f t="shared" si="0"/>
        <v>半製品製造予定指図番号-S2-ST2-P2</v>
      </c>
      <c r="O9" t="str">
        <f t="shared" si="0"/>
        <v>引当個体識別-S2-ST2-P2</v>
      </c>
      <c r="P9" t="str">
        <f t="shared" si="0"/>
        <v>引当数量-S2-ST2-P2</v>
      </c>
      <c r="Q9" t="str">
        <f t="shared" si="0"/>
        <v>引当数量（荷姿単位）-S2-ST2-P2</v>
      </c>
      <c r="R9" t="str">
        <f t="shared" si="0"/>
        <v>引当ステータス-S2-ST2-P2</v>
      </c>
      <c r="S9" t="str">
        <f t="shared" si="0"/>
        <v>引当処理区分-S2-ST2-P2</v>
      </c>
      <c r="T9" t="str">
        <f t="shared" si="0"/>
        <v>自動引当対象フラグ-S2-ST2-P2</v>
      </c>
      <c r="U9" t="str">
        <f t="shared" si="0"/>
        <v>移庫指図No-S2-ST2-P2</v>
      </c>
      <c r="V9" t="str">
        <f t="shared" si="0"/>
        <v>移庫まとめ有無-S2-ST2-P2</v>
      </c>
      <c r="W9" t="str">
        <f t="shared" si="0"/>
        <v>移庫備考-S2-ST2-P2</v>
      </c>
      <c r="X9" t="str">
        <f t="shared" si="0"/>
        <v>生産課-S2-ST2-P2</v>
      </c>
      <c r="Y9" t="str">
        <f t="shared" si="0"/>
        <v>在庫ステータス-S2-ST2-P2</v>
      </c>
      <c r="Z9" t="str">
        <f t="shared" si="0"/>
        <v>荷姿コード-S2-ST2-P2</v>
      </c>
      <c r="AA9" t="str">
        <f t="shared" si="0"/>
        <v>個数-S2-ST2-P2</v>
      </c>
    </row>
    <row r="10" spans="1:27" x14ac:dyDescent="0.15">
      <c r="A10" t="s">
        <v>223</v>
      </c>
      <c r="B10" t="s">
        <v>195</v>
      </c>
      <c r="C10" t="s">
        <v>198</v>
      </c>
      <c r="D10" t="s">
        <v>201</v>
      </c>
      <c r="E10" t="str">
        <f t="shared" si="1"/>
        <v>品目コード-S3-ST1-P1</v>
      </c>
      <c r="F10" t="str">
        <f t="shared" si="0"/>
        <v>受入ロット-S3-ST1-P1</v>
      </c>
      <c r="G10" t="str">
        <f t="shared" si="0"/>
        <v>製造ロット-S3-ST1-P1</v>
      </c>
      <c r="H10" t="str">
        <f t="shared" si="0"/>
        <v>出荷ロット-S3-ST1-P1</v>
      </c>
      <c r="I10" t="str">
        <f t="shared" si="0"/>
        <v>在庫ユニークキー-S3-ST1-P1</v>
      </c>
      <c r="J10" t="str">
        <f t="shared" si="0"/>
        <v>ロケーションID-S3-ST1-P1</v>
      </c>
      <c r="K10" t="str">
        <f t="shared" si="0"/>
        <v>入荷済フラグ-S3-ST1-P1</v>
      </c>
      <c r="L10" t="str">
        <f t="shared" si="0"/>
        <v>入荷予定No-S3-ST1-P1</v>
      </c>
      <c r="M10" t="str">
        <f t="shared" si="0"/>
        <v>半製品製造済フラグ-S3-ST1-P1</v>
      </c>
      <c r="N10" t="str">
        <f t="shared" si="0"/>
        <v>半製品製造予定指図番号-S3-ST1-P1</v>
      </c>
      <c r="O10" t="str">
        <f t="shared" si="0"/>
        <v>引当個体識別-S3-ST1-P1</v>
      </c>
      <c r="P10" t="str">
        <f t="shared" si="0"/>
        <v>引当数量-S3-ST1-P1</v>
      </c>
      <c r="Q10" t="str">
        <f t="shared" si="0"/>
        <v>引当数量（荷姿単位）-S3-ST1-P1</v>
      </c>
      <c r="R10" t="str">
        <f t="shared" si="0"/>
        <v>引当ステータス-S3-ST1-P1</v>
      </c>
      <c r="S10" t="str">
        <f t="shared" si="0"/>
        <v>引当処理区分-S3-ST1-P1</v>
      </c>
      <c r="T10" t="str">
        <f t="shared" si="0"/>
        <v>自動引当対象フラグ-S3-ST1-P1</v>
      </c>
      <c r="U10" t="str">
        <f t="shared" si="0"/>
        <v>移庫指図No-S3-ST1-P1</v>
      </c>
      <c r="V10" t="str">
        <f t="shared" si="0"/>
        <v>移庫まとめ有無-S3-ST1-P1</v>
      </c>
      <c r="W10" t="str">
        <f t="shared" si="0"/>
        <v>移庫備考-S3-ST1-P1</v>
      </c>
      <c r="X10" t="str">
        <f t="shared" si="0"/>
        <v>生産課-S3-ST1-P1</v>
      </c>
      <c r="Y10" t="str">
        <f t="shared" si="0"/>
        <v>在庫ステータス-S3-ST1-P1</v>
      </c>
      <c r="Z10" t="str">
        <f t="shared" si="0"/>
        <v>荷姿コード-S3-ST1-P1</v>
      </c>
      <c r="AA10" t="str">
        <f t="shared" si="0"/>
        <v>個数-S3-ST1-P1</v>
      </c>
    </row>
    <row r="11" spans="1:27" x14ac:dyDescent="0.15">
      <c r="A11" t="s">
        <v>224</v>
      </c>
      <c r="B11" t="s">
        <v>195</v>
      </c>
      <c r="C11" t="s">
        <v>198</v>
      </c>
      <c r="D11" t="s">
        <v>202</v>
      </c>
      <c r="E11" t="str">
        <f t="shared" si="1"/>
        <v>品目コード-S3-ST1-P2</v>
      </c>
      <c r="F11" t="str">
        <f t="shared" si="0"/>
        <v>受入ロット-S3-ST1-P2</v>
      </c>
      <c r="G11" t="str">
        <f t="shared" si="0"/>
        <v>製造ロット-S3-ST1-P2</v>
      </c>
      <c r="H11" t="str">
        <f t="shared" si="0"/>
        <v>出荷ロット-S3-ST1-P2</v>
      </c>
      <c r="I11" t="str">
        <f t="shared" si="0"/>
        <v>在庫ユニークキー-S3-ST1-P2</v>
      </c>
      <c r="J11" t="str">
        <f t="shared" si="0"/>
        <v>ロケーションID-S3-ST1-P2</v>
      </c>
      <c r="K11" t="str">
        <f t="shared" si="0"/>
        <v>入荷済フラグ-S3-ST1-P2</v>
      </c>
      <c r="L11" t="str">
        <f t="shared" si="0"/>
        <v>入荷予定No-S3-ST1-P2</v>
      </c>
      <c r="M11" t="str">
        <f t="shared" si="0"/>
        <v>半製品製造済フラグ-S3-ST1-P2</v>
      </c>
      <c r="N11" t="str">
        <f t="shared" si="0"/>
        <v>半製品製造予定指図番号-S3-ST1-P2</v>
      </c>
      <c r="O11" t="str">
        <f t="shared" si="0"/>
        <v>引当個体識別-S3-ST1-P2</v>
      </c>
      <c r="P11" t="str">
        <f t="shared" si="0"/>
        <v>引当数量-S3-ST1-P2</v>
      </c>
      <c r="Q11" t="str">
        <f t="shared" si="0"/>
        <v>引当数量（荷姿単位）-S3-ST1-P2</v>
      </c>
      <c r="R11" t="str">
        <f t="shared" si="0"/>
        <v>引当ステータス-S3-ST1-P2</v>
      </c>
      <c r="S11" t="str">
        <f t="shared" si="0"/>
        <v>引当処理区分-S3-ST1-P2</v>
      </c>
      <c r="T11" t="str">
        <f t="shared" si="0"/>
        <v>自動引当対象フラグ-S3-ST1-P2</v>
      </c>
      <c r="U11" t="str">
        <f t="shared" si="0"/>
        <v>移庫指図No-S3-ST1-P2</v>
      </c>
      <c r="V11" t="str">
        <f t="shared" si="0"/>
        <v>移庫まとめ有無-S3-ST1-P2</v>
      </c>
      <c r="W11" t="str">
        <f t="shared" si="0"/>
        <v>移庫備考-S3-ST1-P2</v>
      </c>
      <c r="X11" t="str">
        <f t="shared" si="0"/>
        <v>生産課-S3-ST1-P2</v>
      </c>
      <c r="Y11" t="str">
        <f t="shared" si="0"/>
        <v>在庫ステータス-S3-ST1-P2</v>
      </c>
      <c r="Z11" t="str">
        <f t="shared" si="0"/>
        <v>荷姿コード-S3-ST1-P2</v>
      </c>
      <c r="AA11" t="str">
        <f t="shared" si="0"/>
        <v>個数-S3-ST1-P2</v>
      </c>
    </row>
    <row r="12" spans="1:27" x14ac:dyDescent="0.15">
      <c r="A12" t="s">
        <v>225</v>
      </c>
      <c r="B12" t="s">
        <v>195</v>
      </c>
      <c r="C12" t="s">
        <v>200</v>
      </c>
      <c r="D12" t="s">
        <v>201</v>
      </c>
      <c r="E12" t="str">
        <f t="shared" si="1"/>
        <v>品目コード-S3-ST2-P1</v>
      </c>
      <c r="F12" t="str">
        <f t="shared" si="0"/>
        <v>受入ロット-S3-ST2-P1</v>
      </c>
      <c r="G12" t="str">
        <f t="shared" si="0"/>
        <v>製造ロット-S3-ST2-P1</v>
      </c>
      <c r="H12" t="str">
        <f t="shared" si="0"/>
        <v>出荷ロット-S3-ST2-P1</v>
      </c>
      <c r="I12" t="str">
        <f t="shared" si="0"/>
        <v>在庫ユニークキー-S3-ST2-P1</v>
      </c>
      <c r="J12" t="str">
        <f t="shared" si="0"/>
        <v>ロケーションID-S3-ST2-P1</v>
      </c>
      <c r="K12" t="str">
        <f t="shared" si="0"/>
        <v>入荷済フラグ-S3-ST2-P1</v>
      </c>
      <c r="L12" t="str">
        <f t="shared" si="0"/>
        <v>入荷予定No-S3-ST2-P1</v>
      </c>
      <c r="M12" t="str">
        <f t="shared" si="0"/>
        <v>半製品製造済フラグ-S3-ST2-P1</v>
      </c>
      <c r="N12" t="str">
        <f t="shared" si="0"/>
        <v>半製品製造予定指図番号-S3-ST2-P1</v>
      </c>
      <c r="O12" t="str">
        <f t="shared" si="0"/>
        <v>引当個体識別-S3-ST2-P1</v>
      </c>
      <c r="P12" t="str">
        <f t="shared" si="0"/>
        <v>引当数量-S3-ST2-P1</v>
      </c>
      <c r="Q12" t="str">
        <f t="shared" si="0"/>
        <v>引当数量（荷姿単位）-S3-ST2-P1</v>
      </c>
      <c r="R12" t="str">
        <f t="shared" si="0"/>
        <v>引当ステータス-S3-ST2-P1</v>
      </c>
      <c r="S12" t="str">
        <f t="shared" si="0"/>
        <v>引当処理区分-S3-ST2-P1</v>
      </c>
      <c r="T12" t="str">
        <f t="shared" si="0"/>
        <v>自動引当対象フラグ-S3-ST2-P1</v>
      </c>
      <c r="U12" t="str">
        <f t="shared" si="0"/>
        <v>移庫指図No-S3-ST2-P1</v>
      </c>
      <c r="V12" t="str">
        <f t="shared" si="0"/>
        <v>移庫まとめ有無-S3-ST2-P1</v>
      </c>
      <c r="W12" t="str">
        <f t="shared" si="0"/>
        <v>移庫備考-S3-ST2-P1</v>
      </c>
      <c r="X12" t="str">
        <f t="shared" si="0"/>
        <v>生産課-S3-ST2-P1</v>
      </c>
      <c r="Y12" t="str">
        <f t="shared" si="0"/>
        <v>在庫ステータス-S3-ST2-P1</v>
      </c>
      <c r="Z12" t="str">
        <f t="shared" si="0"/>
        <v>荷姿コード-S3-ST2-P1</v>
      </c>
      <c r="AA12" t="str">
        <f t="shared" si="0"/>
        <v>個数-S3-ST2-P1</v>
      </c>
    </row>
    <row r="13" spans="1:27" x14ac:dyDescent="0.15">
      <c r="A13" t="s">
        <v>226</v>
      </c>
      <c r="B13" t="s">
        <v>195</v>
      </c>
      <c r="C13" t="s">
        <v>200</v>
      </c>
      <c r="D13" t="s">
        <v>202</v>
      </c>
      <c r="E13" t="str">
        <f t="shared" si="1"/>
        <v>品目コード-S3-ST2-P2</v>
      </c>
      <c r="F13" t="str">
        <f t="shared" si="0"/>
        <v>受入ロット-S3-ST2-P2</v>
      </c>
      <c r="G13" t="str">
        <f t="shared" si="0"/>
        <v>製造ロット-S3-ST2-P2</v>
      </c>
      <c r="H13" t="str">
        <f t="shared" si="0"/>
        <v>出荷ロット-S3-ST2-P2</v>
      </c>
      <c r="I13" t="str">
        <f t="shared" si="0"/>
        <v>在庫ユニークキー-S3-ST2-P2</v>
      </c>
      <c r="J13" t="str">
        <f t="shared" si="0"/>
        <v>ロケーションID-S3-ST2-P2</v>
      </c>
      <c r="K13" t="str">
        <f t="shared" si="0"/>
        <v>入荷済フラグ-S3-ST2-P2</v>
      </c>
      <c r="L13" t="str">
        <f t="shared" si="0"/>
        <v>入荷予定No-S3-ST2-P2</v>
      </c>
      <c r="M13" t="str">
        <f t="shared" si="0"/>
        <v>半製品製造済フラグ-S3-ST2-P2</v>
      </c>
      <c r="N13" t="str">
        <f t="shared" si="0"/>
        <v>半製品製造予定指図番号-S3-ST2-P2</v>
      </c>
      <c r="O13" t="str">
        <f t="shared" si="0"/>
        <v>引当個体識別-S3-ST2-P2</v>
      </c>
      <c r="P13" t="str">
        <f t="shared" si="0"/>
        <v>引当数量-S3-ST2-P2</v>
      </c>
      <c r="Q13" t="str">
        <f t="shared" si="0"/>
        <v>引当数量（荷姿単位）-S3-ST2-P2</v>
      </c>
      <c r="R13" t="str">
        <f t="shared" si="0"/>
        <v>引当ステータス-S3-ST2-P2</v>
      </c>
      <c r="S13" t="str">
        <f t="shared" si="0"/>
        <v>引当処理区分-S3-ST2-P2</v>
      </c>
      <c r="T13" t="str">
        <f t="shared" si="0"/>
        <v>自動引当対象フラグ-S3-ST2-P2</v>
      </c>
      <c r="U13" t="str">
        <f t="shared" si="0"/>
        <v>移庫指図No-S3-ST2-P2</v>
      </c>
      <c r="V13" t="str">
        <f t="shared" si="0"/>
        <v>移庫まとめ有無-S3-ST2-P2</v>
      </c>
      <c r="W13" t="str">
        <f t="shared" si="0"/>
        <v>移庫備考-S3-ST2-P2</v>
      </c>
      <c r="X13" t="str">
        <f t="shared" si="0"/>
        <v>生産課-S3-ST2-P2</v>
      </c>
      <c r="Y13" t="str">
        <f t="shared" si="0"/>
        <v>在庫ステータス-S3-ST2-P2</v>
      </c>
      <c r="Z13" t="str">
        <f t="shared" si="0"/>
        <v>荷姿コード-S3-ST2-P2</v>
      </c>
      <c r="AA13" t="str">
        <f t="shared" si="0"/>
        <v>個数-S3-ST2-P2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3"/>
  <sheetViews>
    <sheetView zoomScale="80" zoomScaleNormal="80" workbookViewId="0"/>
  </sheetViews>
  <sheetFormatPr defaultRowHeight="13.5" x14ac:dyDescent="0.15"/>
  <cols>
    <col min="1" max="1" width="28.125" bestFit="1" customWidth="1"/>
    <col min="2" max="13" width="3.625" customWidth="1"/>
  </cols>
  <sheetData>
    <row r="1" spans="1:13" x14ac:dyDescent="0.15">
      <c r="A1" s="3" t="s">
        <v>145</v>
      </c>
      <c r="B1" s="2" t="s">
        <v>121</v>
      </c>
      <c r="C1" s="2" t="s">
        <v>177</v>
      </c>
      <c r="D1" s="2" t="s">
        <v>178</v>
      </c>
      <c r="E1" s="2" t="s">
        <v>179</v>
      </c>
      <c r="F1" s="2" t="s">
        <v>180</v>
      </c>
      <c r="G1" s="2" t="s">
        <v>181</v>
      </c>
      <c r="H1" s="2" t="s">
        <v>182</v>
      </c>
      <c r="I1" s="2" t="s">
        <v>183</v>
      </c>
      <c r="J1" s="2" t="s">
        <v>184</v>
      </c>
      <c r="K1" s="2" t="s">
        <v>185</v>
      </c>
      <c r="L1" s="2" t="s">
        <v>186</v>
      </c>
      <c r="M1" s="2" t="s">
        <v>187</v>
      </c>
    </row>
    <row r="2" spans="1:13" x14ac:dyDescent="0.15">
      <c r="A2" t="s">
        <v>203</v>
      </c>
      <c r="B2" t="str">
        <f>B$1&amp;"-"&amp;$A2</f>
        <v>サンプルコード-Lab-Aid依頼番号-S1-ST1-P1</v>
      </c>
      <c r="C2" t="str">
        <f t="shared" ref="C2:M13" si="0">C$1&amp;"-"&amp;$A2</f>
        <v>ホルダコード-Lab-Aid依頼番号-S1-ST1-P1</v>
      </c>
      <c r="D2" t="str">
        <f t="shared" si="0"/>
        <v>試験項目コード-Lab-Aid依頼番号-S1-ST1-P1</v>
      </c>
      <c r="E2" t="str">
        <f t="shared" si="0"/>
        <v>単位コード-Lab-Aid依頼番号-S1-ST1-P1</v>
      </c>
      <c r="F2" t="str">
        <f t="shared" si="0"/>
        <v>ホルダ名-Lab-Aid依頼番号-S1-ST1-P1</v>
      </c>
      <c r="G2" t="str">
        <f t="shared" si="0"/>
        <v>試験項目名-Lab-Aid依頼番号-S1-ST1-P1</v>
      </c>
      <c r="H2" t="str">
        <f t="shared" si="0"/>
        <v>単位名-Lab-Aid依頼番号-S1-ST1-P1</v>
      </c>
      <c r="I2" t="str">
        <f t="shared" si="0"/>
        <v>試験結果-Lab-Aid依頼番号-S1-ST1-P1</v>
      </c>
      <c r="J2" t="str">
        <f t="shared" si="0"/>
        <v>試験結果（編集後）-Lab-Aid依頼番号-S1-ST1-P1</v>
      </c>
      <c r="K2" t="str">
        <f t="shared" si="0"/>
        <v>試験結果（報告用）-Lab-Aid依頼番号-S1-ST1-P1</v>
      </c>
      <c r="L2" t="str">
        <f t="shared" si="0"/>
        <v>規格１上限-Lab-Aid依頼番号-S1-ST1-P1</v>
      </c>
      <c r="M2" t="str">
        <f t="shared" si="0"/>
        <v>規格１下限-Lab-Aid依頼番号-S1-ST1-P1</v>
      </c>
    </row>
    <row r="3" spans="1:13" x14ac:dyDescent="0.15">
      <c r="A3" t="s">
        <v>204</v>
      </c>
      <c r="B3" t="str">
        <f t="shared" ref="B3:B13" si="1">B$1&amp;"-"&amp;$A3</f>
        <v>サンプルコード-Lab-Aid依頼番号-S1-ST1-P2</v>
      </c>
      <c r="C3" t="str">
        <f t="shared" si="0"/>
        <v>ホルダコード-Lab-Aid依頼番号-S1-ST1-P2</v>
      </c>
      <c r="D3" t="str">
        <f t="shared" si="0"/>
        <v>試験項目コード-Lab-Aid依頼番号-S1-ST1-P2</v>
      </c>
      <c r="E3" t="str">
        <f t="shared" si="0"/>
        <v>単位コード-Lab-Aid依頼番号-S1-ST1-P2</v>
      </c>
      <c r="F3" t="str">
        <f t="shared" si="0"/>
        <v>ホルダ名-Lab-Aid依頼番号-S1-ST1-P2</v>
      </c>
      <c r="G3" t="str">
        <f t="shared" si="0"/>
        <v>試験項目名-Lab-Aid依頼番号-S1-ST1-P2</v>
      </c>
      <c r="H3" t="str">
        <f t="shared" si="0"/>
        <v>単位名-Lab-Aid依頼番号-S1-ST1-P2</v>
      </c>
      <c r="I3" t="str">
        <f t="shared" si="0"/>
        <v>試験結果-Lab-Aid依頼番号-S1-ST1-P2</v>
      </c>
      <c r="J3" t="str">
        <f t="shared" si="0"/>
        <v>試験結果（編集後）-Lab-Aid依頼番号-S1-ST1-P2</v>
      </c>
      <c r="K3" t="str">
        <f t="shared" si="0"/>
        <v>試験結果（報告用）-Lab-Aid依頼番号-S1-ST1-P2</v>
      </c>
      <c r="L3" t="str">
        <f t="shared" si="0"/>
        <v>規格１上限-Lab-Aid依頼番号-S1-ST1-P2</v>
      </c>
      <c r="M3" t="str">
        <f t="shared" si="0"/>
        <v>規格１下限-Lab-Aid依頼番号-S1-ST1-P2</v>
      </c>
    </row>
    <row r="4" spans="1:13" x14ac:dyDescent="0.15">
      <c r="A4" t="s">
        <v>205</v>
      </c>
      <c r="B4" t="str">
        <f t="shared" si="1"/>
        <v>サンプルコード-Lab-Aid依頼番号-S1-ST2-P1</v>
      </c>
      <c r="C4" t="str">
        <f t="shared" si="0"/>
        <v>ホルダコード-Lab-Aid依頼番号-S1-ST2-P1</v>
      </c>
      <c r="D4" t="str">
        <f t="shared" si="0"/>
        <v>試験項目コード-Lab-Aid依頼番号-S1-ST2-P1</v>
      </c>
      <c r="E4" t="str">
        <f t="shared" si="0"/>
        <v>単位コード-Lab-Aid依頼番号-S1-ST2-P1</v>
      </c>
      <c r="F4" t="str">
        <f t="shared" si="0"/>
        <v>ホルダ名-Lab-Aid依頼番号-S1-ST2-P1</v>
      </c>
      <c r="G4" t="str">
        <f t="shared" si="0"/>
        <v>試験項目名-Lab-Aid依頼番号-S1-ST2-P1</v>
      </c>
      <c r="H4" t="str">
        <f t="shared" si="0"/>
        <v>単位名-Lab-Aid依頼番号-S1-ST2-P1</v>
      </c>
      <c r="I4" t="str">
        <f t="shared" si="0"/>
        <v>試験結果-Lab-Aid依頼番号-S1-ST2-P1</v>
      </c>
      <c r="J4" t="str">
        <f t="shared" si="0"/>
        <v>試験結果（編集後）-Lab-Aid依頼番号-S1-ST2-P1</v>
      </c>
      <c r="K4" t="str">
        <f t="shared" si="0"/>
        <v>試験結果（報告用）-Lab-Aid依頼番号-S1-ST2-P1</v>
      </c>
      <c r="L4" t="str">
        <f t="shared" si="0"/>
        <v>規格１上限-Lab-Aid依頼番号-S1-ST2-P1</v>
      </c>
      <c r="M4" t="str">
        <f t="shared" si="0"/>
        <v>規格１下限-Lab-Aid依頼番号-S1-ST2-P1</v>
      </c>
    </row>
    <row r="5" spans="1:13" x14ac:dyDescent="0.15">
      <c r="A5" t="s">
        <v>206</v>
      </c>
      <c r="B5" t="str">
        <f t="shared" si="1"/>
        <v>サンプルコード-Lab-Aid依頼番号-S1-ST2-P2</v>
      </c>
      <c r="C5" t="str">
        <f t="shared" si="0"/>
        <v>ホルダコード-Lab-Aid依頼番号-S1-ST2-P2</v>
      </c>
      <c r="D5" t="str">
        <f t="shared" si="0"/>
        <v>試験項目コード-Lab-Aid依頼番号-S1-ST2-P2</v>
      </c>
      <c r="E5" t="str">
        <f t="shared" si="0"/>
        <v>単位コード-Lab-Aid依頼番号-S1-ST2-P2</v>
      </c>
      <c r="F5" t="str">
        <f t="shared" si="0"/>
        <v>ホルダ名-Lab-Aid依頼番号-S1-ST2-P2</v>
      </c>
      <c r="G5" t="str">
        <f t="shared" si="0"/>
        <v>試験項目名-Lab-Aid依頼番号-S1-ST2-P2</v>
      </c>
      <c r="H5" t="str">
        <f t="shared" si="0"/>
        <v>単位名-Lab-Aid依頼番号-S1-ST2-P2</v>
      </c>
      <c r="I5" t="str">
        <f t="shared" si="0"/>
        <v>試験結果-Lab-Aid依頼番号-S1-ST2-P2</v>
      </c>
      <c r="J5" t="str">
        <f t="shared" si="0"/>
        <v>試験結果（編集後）-Lab-Aid依頼番号-S1-ST2-P2</v>
      </c>
      <c r="K5" t="str">
        <f t="shared" si="0"/>
        <v>試験結果（報告用）-Lab-Aid依頼番号-S1-ST2-P2</v>
      </c>
      <c r="L5" t="str">
        <f t="shared" si="0"/>
        <v>規格１上限-Lab-Aid依頼番号-S1-ST2-P2</v>
      </c>
      <c r="M5" t="str">
        <f t="shared" si="0"/>
        <v>規格１下限-Lab-Aid依頼番号-S1-ST2-P2</v>
      </c>
    </row>
    <row r="6" spans="1:13" x14ac:dyDescent="0.15">
      <c r="A6" t="s">
        <v>207</v>
      </c>
      <c r="B6" t="str">
        <f t="shared" si="1"/>
        <v>サンプルコード-Lab-Aid依頼番号-S2-ST1-P1</v>
      </c>
      <c r="C6" t="str">
        <f t="shared" si="0"/>
        <v>ホルダコード-Lab-Aid依頼番号-S2-ST1-P1</v>
      </c>
      <c r="D6" t="str">
        <f t="shared" si="0"/>
        <v>試験項目コード-Lab-Aid依頼番号-S2-ST1-P1</v>
      </c>
      <c r="E6" t="str">
        <f t="shared" si="0"/>
        <v>単位コード-Lab-Aid依頼番号-S2-ST1-P1</v>
      </c>
      <c r="F6" t="str">
        <f t="shared" si="0"/>
        <v>ホルダ名-Lab-Aid依頼番号-S2-ST1-P1</v>
      </c>
      <c r="G6" t="str">
        <f t="shared" si="0"/>
        <v>試験項目名-Lab-Aid依頼番号-S2-ST1-P1</v>
      </c>
      <c r="H6" t="str">
        <f t="shared" si="0"/>
        <v>単位名-Lab-Aid依頼番号-S2-ST1-P1</v>
      </c>
      <c r="I6" t="str">
        <f t="shared" si="0"/>
        <v>試験結果-Lab-Aid依頼番号-S2-ST1-P1</v>
      </c>
      <c r="J6" t="str">
        <f t="shared" si="0"/>
        <v>試験結果（編集後）-Lab-Aid依頼番号-S2-ST1-P1</v>
      </c>
      <c r="K6" t="str">
        <f t="shared" si="0"/>
        <v>試験結果（報告用）-Lab-Aid依頼番号-S2-ST1-P1</v>
      </c>
      <c r="L6" t="str">
        <f t="shared" si="0"/>
        <v>規格１上限-Lab-Aid依頼番号-S2-ST1-P1</v>
      </c>
      <c r="M6" t="str">
        <f t="shared" si="0"/>
        <v>規格１下限-Lab-Aid依頼番号-S2-ST1-P1</v>
      </c>
    </row>
    <row r="7" spans="1:13" x14ac:dyDescent="0.15">
      <c r="A7" t="s">
        <v>208</v>
      </c>
      <c r="B7" t="str">
        <f t="shared" si="1"/>
        <v>サンプルコード-Lab-Aid依頼番号-S2-ST1-P2</v>
      </c>
      <c r="C7" t="str">
        <f t="shared" si="0"/>
        <v>ホルダコード-Lab-Aid依頼番号-S2-ST1-P2</v>
      </c>
      <c r="D7" t="str">
        <f t="shared" si="0"/>
        <v>試験項目コード-Lab-Aid依頼番号-S2-ST1-P2</v>
      </c>
      <c r="E7" t="str">
        <f t="shared" si="0"/>
        <v>単位コード-Lab-Aid依頼番号-S2-ST1-P2</v>
      </c>
      <c r="F7" t="str">
        <f t="shared" si="0"/>
        <v>ホルダ名-Lab-Aid依頼番号-S2-ST1-P2</v>
      </c>
      <c r="G7" t="str">
        <f t="shared" si="0"/>
        <v>試験項目名-Lab-Aid依頼番号-S2-ST1-P2</v>
      </c>
      <c r="H7" t="str">
        <f t="shared" si="0"/>
        <v>単位名-Lab-Aid依頼番号-S2-ST1-P2</v>
      </c>
      <c r="I7" t="str">
        <f t="shared" si="0"/>
        <v>試験結果-Lab-Aid依頼番号-S2-ST1-P2</v>
      </c>
      <c r="J7" t="str">
        <f t="shared" si="0"/>
        <v>試験結果（編集後）-Lab-Aid依頼番号-S2-ST1-P2</v>
      </c>
      <c r="K7" t="str">
        <f t="shared" si="0"/>
        <v>試験結果（報告用）-Lab-Aid依頼番号-S2-ST1-P2</v>
      </c>
      <c r="L7" t="str">
        <f t="shared" si="0"/>
        <v>規格１上限-Lab-Aid依頼番号-S2-ST1-P2</v>
      </c>
      <c r="M7" t="str">
        <f t="shared" si="0"/>
        <v>規格１下限-Lab-Aid依頼番号-S2-ST1-P2</v>
      </c>
    </row>
    <row r="8" spans="1:13" x14ac:dyDescent="0.15">
      <c r="A8" t="s">
        <v>209</v>
      </c>
      <c r="B8" t="str">
        <f t="shared" si="1"/>
        <v>サンプルコード-Lab-Aid依頼番号-S2-ST2-P1</v>
      </c>
      <c r="C8" t="str">
        <f t="shared" si="0"/>
        <v>ホルダコード-Lab-Aid依頼番号-S2-ST2-P1</v>
      </c>
      <c r="D8" t="str">
        <f t="shared" si="0"/>
        <v>試験項目コード-Lab-Aid依頼番号-S2-ST2-P1</v>
      </c>
      <c r="E8" t="str">
        <f t="shared" si="0"/>
        <v>単位コード-Lab-Aid依頼番号-S2-ST2-P1</v>
      </c>
      <c r="F8" t="str">
        <f t="shared" si="0"/>
        <v>ホルダ名-Lab-Aid依頼番号-S2-ST2-P1</v>
      </c>
      <c r="G8" t="str">
        <f t="shared" si="0"/>
        <v>試験項目名-Lab-Aid依頼番号-S2-ST2-P1</v>
      </c>
      <c r="H8" t="str">
        <f t="shared" si="0"/>
        <v>単位名-Lab-Aid依頼番号-S2-ST2-P1</v>
      </c>
      <c r="I8" t="str">
        <f t="shared" si="0"/>
        <v>試験結果-Lab-Aid依頼番号-S2-ST2-P1</v>
      </c>
      <c r="J8" t="str">
        <f t="shared" si="0"/>
        <v>試験結果（編集後）-Lab-Aid依頼番号-S2-ST2-P1</v>
      </c>
      <c r="K8" t="str">
        <f t="shared" si="0"/>
        <v>試験結果（報告用）-Lab-Aid依頼番号-S2-ST2-P1</v>
      </c>
      <c r="L8" t="str">
        <f t="shared" si="0"/>
        <v>規格１上限-Lab-Aid依頼番号-S2-ST2-P1</v>
      </c>
      <c r="M8" t="str">
        <f t="shared" si="0"/>
        <v>規格１下限-Lab-Aid依頼番号-S2-ST2-P1</v>
      </c>
    </row>
    <row r="9" spans="1:13" x14ac:dyDescent="0.15">
      <c r="A9" t="s">
        <v>210</v>
      </c>
      <c r="B9" t="str">
        <f t="shared" si="1"/>
        <v>サンプルコード-Lab-Aid依頼番号-S2-ST2-P2</v>
      </c>
      <c r="C9" t="str">
        <f t="shared" si="0"/>
        <v>ホルダコード-Lab-Aid依頼番号-S2-ST2-P2</v>
      </c>
      <c r="D9" t="str">
        <f t="shared" si="0"/>
        <v>試験項目コード-Lab-Aid依頼番号-S2-ST2-P2</v>
      </c>
      <c r="E9" t="str">
        <f t="shared" si="0"/>
        <v>単位コード-Lab-Aid依頼番号-S2-ST2-P2</v>
      </c>
      <c r="F9" t="str">
        <f t="shared" si="0"/>
        <v>ホルダ名-Lab-Aid依頼番号-S2-ST2-P2</v>
      </c>
      <c r="G9" t="str">
        <f t="shared" si="0"/>
        <v>試験項目名-Lab-Aid依頼番号-S2-ST2-P2</v>
      </c>
      <c r="H9" t="str">
        <f t="shared" si="0"/>
        <v>単位名-Lab-Aid依頼番号-S2-ST2-P2</v>
      </c>
      <c r="I9" t="str">
        <f t="shared" si="0"/>
        <v>試験結果-Lab-Aid依頼番号-S2-ST2-P2</v>
      </c>
      <c r="J9" t="str">
        <f t="shared" si="0"/>
        <v>試験結果（編集後）-Lab-Aid依頼番号-S2-ST2-P2</v>
      </c>
      <c r="K9" t="str">
        <f t="shared" si="0"/>
        <v>試験結果（報告用）-Lab-Aid依頼番号-S2-ST2-P2</v>
      </c>
      <c r="L9" t="str">
        <f t="shared" si="0"/>
        <v>規格１上限-Lab-Aid依頼番号-S2-ST2-P2</v>
      </c>
      <c r="M9" t="str">
        <f t="shared" si="0"/>
        <v>規格１下限-Lab-Aid依頼番号-S2-ST2-P2</v>
      </c>
    </row>
    <row r="10" spans="1:13" x14ac:dyDescent="0.15">
      <c r="A10" t="s">
        <v>211</v>
      </c>
      <c r="B10" t="str">
        <f t="shared" si="1"/>
        <v>サンプルコード-Lab-Aid依頼番号-S3-ST1-P1</v>
      </c>
      <c r="C10" t="str">
        <f t="shared" si="0"/>
        <v>ホルダコード-Lab-Aid依頼番号-S3-ST1-P1</v>
      </c>
      <c r="D10" t="str">
        <f t="shared" si="0"/>
        <v>試験項目コード-Lab-Aid依頼番号-S3-ST1-P1</v>
      </c>
      <c r="E10" t="str">
        <f t="shared" si="0"/>
        <v>単位コード-Lab-Aid依頼番号-S3-ST1-P1</v>
      </c>
      <c r="F10" t="str">
        <f t="shared" si="0"/>
        <v>ホルダ名-Lab-Aid依頼番号-S3-ST1-P1</v>
      </c>
      <c r="G10" t="str">
        <f t="shared" si="0"/>
        <v>試験項目名-Lab-Aid依頼番号-S3-ST1-P1</v>
      </c>
      <c r="H10" t="str">
        <f t="shared" si="0"/>
        <v>単位名-Lab-Aid依頼番号-S3-ST1-P1</v>
      </c>
      <c r="I10" t="str">
        <f t="shared" si="0"/>
        <v>試験結果-Lab-Aid依頼番号-S3-ST1-P1</v>
      </c>
      <c r="J10" t="str">
        <f t="shared" si="0"/>
        <v>試験結果（編集後）-Lab-Aid依頼番号-S3-ST1-P1</v>
      </c>
      <c r="K10" t="str">
        <f t="shared" si="0"/>
        <v>試験結果（報告用）-Lab-Aid依頼番号-S3-ST1-P1</v>
      </c>
      <c r="L10" t="str">
        <f t="shared" si="0"/>
        <v>規格１上限-Lab-Aid依頼番号-S3-ST1-P1</v>
      </c>
      <c r="M10" t="str">
        <f t="shared" si="0"/>
        <v>規格１下限-Lab-Aid依頼番号-S3-ST1-P1</v>
      </c>
    </row>
    <row r="11" spans="1:13" x14ac:dyDescent="0.15">
      <c r="A11" t="s">
        <v>212</v>
      </c>
      <c r="B11" t="str">
        <f t="shared" si="1"/>
        <v>サンプルコード-Lab-Aid依頼番号-S3-ST1-P2</v>
      </c>
      <c r="C11" t="str">
        <f t="shared" si="0"/>
        <v>ホルダコード-Lab-Aid依頼番号-S3-ST1-P2</v>
      </c>
      <c r="D11" t="str">
        <f t="shared" si="0"/>
        <v>試験項目コード-Lab-Aid依頼番号-S3-ST1-P2</v>
      </c>
      <c r="E11" t="str">
        <f t="shared" si="0"/>
        <v>単位コード-Lab-Aid依頼番号-S3-ST1-P2</v>
      </c>
      <c r="F11" t="str">
        <f t="shared" si="0"/>
        <v>ホルダ名-Lab-Aid依頼番号-S3-ST1-P2</v>
      </c>
      <c r="G11" t="str">
        <f t="shared" si="0"/>
        <v>試験項目名-Lab-Aid依頼番号-S3-ST1-P2</v>
      </c>
      <c r="H11" t="str">
        <f t="shared" si="0"/>
        <v>単位名-Lab-Aid依頼番号-S3-ST1-P2</v>
      </c>
      <c r="I11" t="str">
        <f t="shared" si="0"/>
        <v>試験結果-Lab-Aid依頼番号-S3-ST1-P2</v>
      </c>
      <c r="J11" t="str">
        <f t="shared" si="0"/>
        <v>試験結果（編集後）-Lab-Aid依頼番号-S3-ST1-P2</v>
      </c>
      <c r="K11" t="str">
        <f t="shared" si="0"/>
        <v>試験結果（報告用）-Lab-Aid依頼番号-S3-ST1-P2</v>
      </c>
      <c r="L11" t="str">
        <f t="shared" si="0"/>
        <v>規格１上限-Lab-Aid依頼番号-S3-ST1-P2</v>
      </c>
      <c r="M11" t="str">
        <f t="shared" si="0"/>
        <v>規格１下限-Lab-Aid依頼番号-S3-ST1-P2</v>
      </c>
    </row>
    <row r="12" spans="1:13" x14ac:dyDescent="0.15">
      <c r="A12" t="s">
        <v>213</v>
      </c>
      <c r="B12" t="str">
        <f t="shared" si="1"/>
        <v>サンプルコード-Lab-Aid依頼番号-S3-ST2-P1</v>
      </c>
      <c r="C12" t="str">
        <f t="shared" si="0"/>
        <v>ホルダコード-Lab-Aid依頼番号-S3-ST2-P1</v>
      </c>
      <c r="D12" t="str">
        <f t="shared" si="0"/>
        <v>試験項目コード-Lab-Aid依頼番号-S3-ST2-P1</v>
      </c>
      <c r="E12" t="str">
        <f t="shared" si="0"/>
        <v>単位コード-Lab-Aid依頼番号-S3-ST2-P1</v>
      </c>
      <c r="F12" t="str">
        <f t="shared" si="0"/>
        <v>ホルダ名-Lab-Aid依頼番号-S3-ST2-P1</v>
      </c>
      <c r="G12" t="str">
        <f t="shared" si="0"/>
        <v>試験項目名-Lab-Aid依頼番号-S3-ST2-P1</v>
      </c>
      <c r="H12" t="str">
        <f t="shared" si="0"/>
        <v>単位名-Lab-Aid依頼番号-S3-ST2-P1</v>
      </c>
      <c r="I12" t="str">
        <f t="shared" si="0"/>
        <v>試験結果-Lab-Aid依頼番号-S3-ST2-P1</v>
      </c>
      <c r="J12" t="str">
        <f t="shared" si="0"/>
        <v>試験結果（編集後）-Lab-Aid依頼番号-S3-ST2-P1</v>
      </c>
      <c r="K12" t="str">
        <f t="shared" si="0"/>
        <v>試験結果（報告用）-Lab-Aid依頼番号-S3-ST2-P1</v>
      </c>
      <c r="L12" t="str">
        <f t="shared" si="0"/>
        <v>規格１上限-Lab-Aid依頼番号-S3-ST2-P1</v>
      </c>
      <c r="M12" t="str">
        <f t="shared" si="0"/>
        <v>規格１下限-Lab-Aid依頼番号-S3-ST2-P1</v>
      </c>
    </row>
    <row r="13" spans="1:13" x14ac:dyDescent="0.15">
      <c r="A13" t="s">
        <v>214</v>
      </c>
      <c r="B13" t="str">
        <f t="shared" si="1"/>
        <v>サンプルコード-Lab-Aid依頼番号-S3-ST2-P2</v>
      </c>
      <c r="C13" t="str">
        <f t="shared" si="0"/>
        <v>ホルダコード-Lab-Aid依頼番号-S3-ST2-P2</v>
      </c>
      <c r="D13" t="str">
        <f t="shared" si="0"/>
        <v>試験項目コード-Lab-Aid依頼番号-S3-ST2-P2</v>
      </c>
      <c r="E13" t="str">
        <f t="shared" si="0"/>
        <v>単位コード-Lab-Aid依頼番号-S3-ST2-P2</v>
      </c>
      <c r="F13" t="str">
        <f t="shared" si="0"/>
        <v>ホルダ名-Lab-Aid依頼番号-S3-ST2-P2</v>
      </c>
      <c r="G13" t="str">
        <f t="shared" si="0"/>
        <v>試験項目名-Lab-Aid依頼番号-S3-ST2-P2</v>
      </c>
      <c r="H13" t="str">
        <f t="shared" si="0"/>
        <v>単位名-Lab-Aid依頼番号-S3-ST2-P2</v>
      </c>
      <c r="I13" t="str">
        <f t="shared" si="0"/>
        <v>試験結果-Lab-Aid依頼番号-S3-ST2-P2</v>
      </c>
      <c r="J13" t="str">
        <f t="shared" si="0"/>
        <v>試験結果（編集後）-Lab-Aid依頼番号-S3-ST2-P2</v>
      </c>
      <c r="K13" t="str">
        <f t="shared" si="0"/>
        <v>試験結果（報告用）-Lab-Aid依頼番号-S3-ST2-P2</v>
      </c>
      <c r="L13" t="str">
        <f t="shared" si="0"/>
        <v>規格１上限-Lab-Aid依頼番号-S3-ST2-P2</v>
      </c>
      <c r="M13" t="str">
        <f t="shared" si="0"/>
        <v>規格１下限-Lab-Aid依頼番号-S3-ST2-P2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3"/>
  <sheetViews>
    <sheetView zoomScale="80" zoomScaleNormal="80" workbookViewId="0"/>
  </sheetViews>
  <sheetFormatPr defaultRowHeight="13.5" x14ac:dyDescent="0.15"/>
  <cols>
    <col min="1" max="3" width="3.625" customWidth="1"/>
    <col min="4" max="4" width="28.125" bestFit="1" customWidth="1"/>
    <col min="5" max="10" width="3.625" customWidth="1"/>
  </cols>
  <sheetData>
    <row r="1" spans="1:10" x14ac:dyDescent="0.15">
      <c r="A1" s="1" t="s">
        <v>2</v>
      </c>
      <c r="B1" s="2" t="s">
        <v>188</v>
      </c>
      <c r="C1" s="2" t="s">
        <v>164</v>
      </c>
      <c r="D1" s="5" t="s">
        <v>145</v>
      </c>
      <c r="E1" s="2" t="s">
        <v>189</v>
      </c>
      <c r="F1" s="2" t="s">
        <v>121</v>
      </c>
      <c r="G1" s="2" t="s">
        <v>122</v>
      </c>
      <c r="H1" s="2" t="s">
        <v>190</v>
      </c>
      <c r="I1" s="2" t="s">
        <v>191</v>
      </c>
      <c r="J1" s="2" t="s">
        <v>192</v>
      </c>
    </row>
    <row r="2" spans="1:10" x14ac:dyDescent="0.15">
      <c r="A2" t="str">
        <f t="shared" ref="A2:C13" si="0">A$1&amp;"-"&amp;$D2</f>
        <v>品目コード-Lab-Aid依頼番号-S1-ST1-P1</v>
      </c>
      <c r="B2" t="str">
        <f t="shared" si="0"/>
        <v>ロット-Lab-Aid依頼番号-S1-ST1-P1</v>
      </c>
      <c r="C2" t="str">
        <f t="shared" si="0"/>
        <v>個体識別-Lab-Aid依頼番号-S1-ST1-P1</v>
      </c>
      <c r="D2" t="s">
        <v>203</v>
      </c>
      <c r="E2" t="str">
        <f>E$1&amp;"-"&amp;$D2</f>
        <v>検査区分-Lab-Aid依頼番号-S1-ST1-P1</v>
      </c>
      <c r="F2" t="str">
        <f t="shared" ref="F2:J2" si="1">F$1&amp;"-"&amp;$D2</f>
        <v>サンプルコード-Lab-Aid依頼番号-S1-ST1-P1</v>
      </c>
      <c r="G2" t="str">
        <f t="shared" si="1"/>
        <v>プロトコルコード-Lab-Aid依頼番号-S1-ST1-P1</v>
      </c>
      <c r="H2" t="str">
        <f t="shared" si="1"/>
        <v>依頼日時-Lab-Aid依頼番号-S1-ST1-P1</v>
      </c>
      <c r="I2" t="str">
        <f t="shared" si="1"/>
        <v>検査回数-Lab-Aid依頼番号-S1-ST1-P1</v>
      </c>
      <c r="J2" t="str">
        <f t="shared" si="1"/>
        <v>合否-Lab-Aid依頼番号-S1-ST1-P1</v>
      </c>
    </row>
    <row r="3" spans="1:10" x14ac:dyDescent="0.15">
      <c r="A3" t="str">
        <f t="shared" si="0"/>
        <v>品目コード-Lab-Aid依頼番号-S1-ST1-P2</v>
      </c>
      <c r="B3" t="str">
        <f t="shared" si="0"/>
        <v>ロット-Lab-Aid依頼番号-S1-ST1-P2</v>
      </c>
      <c r="C3" t="str">
        <f t="shared" si="0"/>
        <v>個体識別-Lab-Aid依頼番号-S1-ST1-P2</v>
      </c>
      <c r="D3" t="s">
        <v>204</v>
      </c>
      <c r="E3" t="str">
        <f t="shared" ref="E3:J13" si="2">E$1&amp;"-"&amp;$D3</f>
        <v>検査区分-Lab-Aid依頼番号-S1-ST1-P2</v>
      </c>
      <c r="F3" t="str">
        <f t="shared" si="2"/>
        <v>サンプルコード-Lab-Aid依頼番号-S1-ST1-P2</v>
      </c>
      <c r="G3" t="str">
        <f t="shared" si="2"/>
        <v>プロトコルコード-Lab-Aid依頼番号-S1-ST1-P2</v>
      </c>
      <c r="H3" t="str">
        <f t="shared" si="2"/>
        <v>依頼日時-Lab-Aid依頼番号-S1-ST1-P2</v>
      </c>
      <c r="I3" t="str">
        <f t="shared" si="2"/>
        <v>検査回数-Lab-Aid依頼番号-S1-ST1-P2</v>
      </c>
      <c r="J3" t="str">
        <f t="shared" si="2"/>
        <v>合否-Lab-Aid依頼番号-S1-ST1-P2</v>
      </c>
    </row>
    <row r="4" spans="1:10" x14ac:dyDescent="0.15">
      <c r="A4" t="str">
        <f t="shared" si="0"/>
        <v>品目コード-Lab-Aid依頼番号-S1-ST2-P1</v>
      </c>
      <c r="B4" t="str">
        <f t="shared" si="0"/>
        <v>ロット-Lab-Aid依頼番号-S1-ST2-P1</v>
      </c>
      <c r="C4" t="str">
        <f t="shared" si="0"/>
        <v>個体識別-Lab-Aid依頼番号-S1-ST2-P1</v>
      </c>
      <c r="D4" t="s">
        <v>205</v>
      </c>
      <c r="E4" t="str">
        <f t="shared" si="2"/>
        <v>検査区分-Lab-Aid依頼番号-S1-ST2-P1</v>
      </c>
      <c r="F4" t="str">
        <f t="shared" si="2"/>
        <v>サンプルコード-Lab-Aid依頼番号-S1-ST2-P1</v>
      </c>
      <c r="G4" t="str">
        <f t="shared" si="2"/>
        <v>プロトコルコード-Lab-Aid依頼番号-S1-ST2-P1</v>
      </c>
      <c r="H4" t="str">
        <f t="shared" si="2"/>
        <v>依頼日時-Lab-Aid依頼番号-S1-ST2-P1</v>
      </c>
      <c r="I4" t="str">
        <f t="shared" si="2"/>
        <v>検査回数-Lab-Aid依頼番号-S1-ST2-P1</v>
      </c>
      <c r="J4" t="str">
        <f t="shared" si="2"/>
        <v>合否-Lab-Aid依頼番号-S1-ST2-P1</v>
      </c>
    </row>
    <row r="5" spans="1:10" x14ac:dyDescent="0.15">
      <c r="A5" t="str">
        <f t="shared" si="0"/>
        <v>品目コード-Lab-Aid依頼番号-S1-ST2-P2</v>
      </c>
      <c r="B5" t="str">
        <f t="shared" si="0"/>
        <v>ロット-Lab-Aid依頼番号-S1-ST2-P2</v>
      </c>
      <c r="C5" t="str">
        <f t="shared" si="0"/>
        <v>個体識別-Lab-Aid依頼番号-S1-ST2-P2</v>
      </c>
      <c r="D5" t="s">
        <v>206</v>
      </c>
      <c r="E5" t="str">
        <f t="shared" si="2"/>
        <v>検査区分-Lab-Aid依頼番号-S1-ST2-P2</v>
      </c>
      <c r="F5" t="str">
        <f t="shared" si="2"/>
        <v>サンプルコード-Lab-Aid依頼番号-S1-ST2-P2</v>
      </c>
      <c r="G5" t="str">
        <f t="shared" si="2"/>
        <v>プロトコルコード-Lab-Aid依頼番号-S1-ST2-P2</v>
      </c>
      <c r="H5" t="str">
        <f t="shared" si="2"/>
        <v>依頼日時-Lab-Aid依頼番号-S1-ST2-P2</v>
      </c>
      <c r="I5" t="str">
        <f t="shared" si="2"/>
        <v>検査回数-Lab-Aid依頼番号-S1-ST2-P2</v>
      </c>
      <c r="J5" t="str">
        <f t="shared" si="2"/>
        <v>合否-Lab-Aid依頼番号-S1-ST2-P2</v>
      </c>
    </row>
    <row r="6" spans="1:10" x14ac:dyDescent="0.15">
      <c r="A6" t="str">
        <f t="shared" si="0"/>
        <v>品目コード-Lab-Aid依頼番号-S2-ST1-P1</v>
      </c>
      <c r="B6" t="str">
        <f t="shared" si="0"/>
        <v>ロット-Lab-Aid依頼番号-S2-ST1-P1</v>
      </c>
      <c r="C6" t="str">
        <f t="shared" si="0"/>
        <v>個体識別-Lab-Aid依頼番号-S2-ST1-P1</v>
      </c>
      <c r="D6" t="s">
        <v>207</v>
      </c>
      <c r="E6" t="str">
        <f t="shared" si="2"/>
        <v>検査区分-Lab-Aid依頼番号-S2-ST1-P1</v>
      </c>
      <c r="F6" t="str">
        <f t="shared" si="2"/>
        <v>サンプルコード-Lab-Aid依頼番号-S2-ST1-P1</v>
      </c>
      <c r="G6" t="str">
        <f t="shared" si="2"/>
        <v>プロトコルコード-Lab-Aid依頼番号-S2-ST1-P1</v>
      </c>
      <c r="H6" t="str">
        <f t="shared" si="2"/>
        <v>依頼日時-Lab-Aid依頼番号-S2-ST1-P1</v>
      </c>
      <c r="I6" t="str">
        <f t="shared" si="2"/>
        <v>検査回数-Lab-Aid依頼番号-S2-ST1-P1</v>
      </c>
      <c r="J6" t="str">
        <f t="shared" si="2"/>
        <v>合否-Lab-Aid依頼番号-S2-ST1-P1</v>
      </c>
    </row>
    <row r="7" spans="1:10" x14ac:dyDescent="0.15">
      <c r="A7" t="str">
        <f t="shared" si="0"/>
        <v>品目コード-Lab-Aid依頼番号-S2-ST1-P2</v>
      </c>
      <c r="B7" t="str">
        <f t="shared" si="0"/>
        <v>ロット-Lab-Aid依頼番号-S2-ST1-P2</v>
      </c>
      <c r="C7" t="str">
        <f t="shared" si="0"/>
        <v>個体識別-Lab-Aid依頼番号-S2-ST1-P2</v>
      </c>
      <c r="D7" t="s">
        <v>208</v>
      </c>
      <c r="E7" t="str">
        <f t="shared" si="2"/>
        <v>検査区分-Lab-Aid依頼番号-S2-ST1-P2</v>
      </c>
      <c r="F7" t="str">
        <f t="shared" si="2"/>
        <v>サンプルコード-Lab-Aid依頼番号-S2-ST1-P2</v>
      </c>
      <c r="G7" t="str">
        <f t="shared" si="2"/>
        <v>プロトコルコード-Lab-Aid依頼番号-S2-ST1-P2</v>
      </c>
      <c r="H7" t="str">
        <f t="shared" si="2"/>
        <v>依頼日時-Lab-Aid依頼番号-S2-ST1-P2</v>
      </c>
      <c r="I7" t="str">
        <f t="shared" si="2"/>
        <v>検査回数-Lab-Aid依頼番号-S2-ST1-P2</v>
      </c>
      <c r="J7" t="str">
        <f t="shared" si="2"/>
        <v>合否-Lab-Aid依頼番号-S2-ST1-P2</v>
      </c>
    </row>
    <row r="8" spans="1:10" x14ac:dyDescent="0.15">
      <c r="A8" t="str">
        <f t="shared" si="0"/>
        <v>品目コード-Lab-Aid依頼番号-S2-ST2-P1</v>
      </c>
      <c r="B8" t="str">
        <f t="shared" si="0"/>
        <v>ロット-Lab-Aid依頼番号-S2-ST2-P1</v>
      </c>
      <c r="C8" t="str">
        <f t="shared" si="0"/>
        <v>個体識別-Lab-Aid依頼番号-S2-ST2-P1</v>
      </c>
      <c r="D8" t="s">
        <v>209</v>
      </c>
      <c r="E8" t="str">
        <f t="shared" si="2"/>
        <v>検査区分-Lab-Aid依頼番号-S2-ST2-P1</v>
      </c>
      <c r="F8" t="str">
        <f t="shared" si="2"/>
        <v>サンプルコード-Lab-Aid依頼番号-S2-ST2-P1</v>
      </c>
      <c r="G8" t="str">
        <f t="shared" si="2"/>
        <v>プロトコルコード-Lab-Aid依頼番号-S2-ST2-P1</v>
      </c>
      <c r="H8" t="str">
        <f t="shared" si="2"/>
        <v>依頼日時-Lab-Aid依頼番号-S2-ST2-P1</v>
      </c>
      <c r="I8" t="str">
        <f t="shared" si="2"/>
        <v>検査回数-Lab-Aid依頼番号-S2-ST2-P1</v>
      </c>
      <c r="J8" t="str">
        <f t="shared" si="2"/>
        <v>合否-Lab-Aid依頼番号-S2-ST2-P1</v>
      </c>
    </row>
    <row r="9" spans="1:10" x14ac:dyDescent="0.15">
      <c r="A9" t="str">
        <f t="shared" si="0"/>
        <v>品目コード-Lab-Aid依頼番号-S2-ST2-P2</v>
      </c>
      <c r="B9" t="str">
        <f t="shared" si="0"/>
        <v>ロット-Lab-Aid依頼番号-S2-ST2-P2</v>
      </c>
      <c r="C9" t="str">
        <f t="shared" si="0"/>
        <v>個体識別-Lab-Aid依頼番号-S2-ST2-P2</v>
      </c>
      <c r="D9" t="s">
        <v>210</v>
      </c>
      <c r="E9" t="str">
        <f t="shared" si="2"/>
        <v>検査区分-Lab-Aid依頼番号-S2-ST2-P2</v>
      </c>
      <c r="F9" t="str">
        <f t="shared" si="2"/>
        <v>サンプルコード-Lab-Aid依頼番号-S2-ST2-P2</v>
      </c>
      <c r="G9" t="str">
        <f t="shared" si="2"/>
        <v>プロトコルコード-Lab-Aid依頼番号-S2-ST2-P2</v>
      </c>
      <c r="H9" t="str">
        <f t="shared" si="2"/>
        <v>依頼日時-Lab-Aid依頼番号-S2-ST2-P2</v>
      </c>
      <c r="I9" t="str">
        <f t="shared" si="2"/>
        <v>検査回数-Lab-Aid依頼番号-S2-ST2-P2</v>
      </c>
      <c r="J9" t="str">
        <f t="shared" si="2"/>
        <v>合否-Lab-Aid依頼番号-S2-ST2-P2</v>
      </c>
    </row>
    <row r="10" spans="1:10" x14ac:dyDescent="0.15">
      <c r="A10" t="str">
        <f t="shared" si="0"/>
        <v>品目コード-Lab-Aid依頼番号-S3-ST1-P1</v>
      </c>
      <c r="B10" t="str">
        <f t="shared" si="0"/>
        <v>ロット-Lab-Aid依頼番号-S3-ST1-P1</v>
      </c>
      <c r="C10" t="str">
        <f t="shared" si="0"/>
        <v>個体識別-Lab-Aid依頼番号-S3-ST1-P1</v>
      </c>
      <c r="D10" t="s">
        <v>211</v>
      </c>
      <c r="E10" t="str">
        <f t="shared" si="2"/>
        <v>検査区分-Lab-Aid依頼番号-S3-ST1-P1</v>
      </c>
      <c r="F10" t="str">
        <f t="shared" si="2"/>
        <v>サンプルコード-Lab-Aid依頼番号-S3-ST1-P1</v>
      </c>
      <c r="G10" t="str">
        <f t="shared" si="2"/>
        <v>プロトコルコード-Lab-Aid依頼番号-S3-ST1-P1</v>
      </c>
      <c r="H10" t="str">
        <f t="shared" si="2"/>
        <v>依頼日時-Lab-Aid依頼番号-S3-ST1-P1</v>
      </c>
      <c r="I10" t="str">
        <f t="shared" si="2"/>
        <v>検査回数-Lab-Aid依頼番号-S3-ST1-P1</v>
      </c>
      <c r="J10" t="str">
        <f t="shared" si="2"/>
        <v>合否-Lab-Aid依頼番号-S3-ST1-P1</v>
      </c>
    </row>
    <row r="11" spans="1:10" x14ac:dyDescent="0.15">
      <c r="A11" t="str">
        <f t="shared" si="0"/>
        <v>品目コード-Lab-Aid依頼番号-S3-ST1-P2</v>
      </c>
      <c r="B11" t="str">
        <f t="shared" si="0"/>
        <v>ロット-Lab-Aid依頼番号-S3-ST1-P2</v>
      </c>
      <c r="C11" t="str">
        <f t="shared" si="0"/>
        <v>個体識別-Lab-Aid依頼番号-S3-ST1-P2</v>
      </c>
      <c r="D11" t="s">
        <v>212</v>
      </c>
      <c r="E11" t="str">
        <f t="shared" si="2"/>
        <v>検査区分-Lab-Aid依頼番号-S3-ST1-P2</v>
      </c>
      <c r="F11" t="str">
        <f t="shared" si="2"/>
        <v>サンプルコード-Lab-Aid依頼番号-S3-ST1-P2</v>
      </c>
      <c r="G11" t="str">
        <f t="shared" si="2"/>
        <v>プロトコルコード-Lab-Aid依頼番号-S3-ST1-P2</v>
      </c>
      <c r="H11" t="str">
        <f t="shared" si="2"/>
        <v>依頼日時-Lab-Aid依頼番号-S3-ST1-P2</v>
      </c>
      <c r="I11" t="str">
        <f t="shared" si="2"/>
        <v>検査回数-Lab-Aid依頼番号-S3-ST1-P2</v>
      </c>
      <c r="J11" t="str">
        <f t="shared" si="2"/>
        <v>合否-Lab-Aid依頼番号-S3-ST1-P2</v>
      </c>
    </row>
    <row r="12" spans="1:10" x14ac:dyDescent="0.15">
      <c r="A12" t="str">
        <f t="shared" si="0"/>
        <v>品目コード-Lab-Aid依頼番号-S3-ST2-P1</v>
      </c>
      <c r="B12" t="str">
        <f t="shared" si="0"/>
        <v>ロット-Lab-Aid依頼番号-S3-ST2-P1</v>
      </c>
      <c r="C12" t="str">
        <f t="shared" si="0"/>
        <v>個体識別-Lab-Aid依頼番号-S3-ST2-P1</v>
      </c>
      <c r="D12" t="s">
        <v>213</v>
      </c>
      <c r="E12" t="str">
        <f t="shared" si="2"/>
        <v>検査区分-Lab-Aid依頼番号-S3-ST2-P1</v>
      </c>
      <c r="F12" t="str">
        <f t="shared" si="2"/>
        <v>サンプルコード-Lab-Aid依頼番号-S3-ST2-P1</v>
      </c>
      <c r="G12" t="str">
        <f t="shared" si="2"/>
        <v>プロトコルコード-Lab-Aid依頼番号-S3-ST2-P1</v>
      </c>
      <c r="H12" t="str">
        <f t="shared" si="2"/>
        <v>依頼日時-Lab-Aid依頼番号-S3-ST2-P1</v>
      </c>
      <c r="I12" t="str">
        <f t="shared" si="2"/>
        <v>検査回数-Lab-Aid依頼番号-S3-ST2-P1</v>
      </c>
      <c r="J12" t="str">
        <f t="shared" si="2"/>
        <v>合否-Lab-Aid依頼番号-S3-ST2-P1</v>
      </c>
    </row>
    <row r="13" spans="1:10" x14ac:dyDescent="0.15">
      <c r="A13" t="str">
        <f t="shared" si="0"/>
        <v>品目コード-Lab-Aid依頼番号-S3-ST2-P2</v>
      </c>
      <c r="B13" t="str">
        <f t="shared" si="0"/>
        <v>ロット-Lab-Aid依頼番号-S3-ST2-P2</v>
      </c>
      <c r="C13" t="str">
        <f t="shared" si="0"/>
        <v>個体識別-Lab-Aid依頼番号-S3-ST2-P2</v>
      </c>
      <c r="D13" t="s">
        <v>214</v>
      </c>
      <c r="E13" t="str">
        <f t="shared" si="2"/>
        <v>検査区分-Lab-Aid依頼番号-S3-ST2-P2</v>
      </c>
      <c r="F13" t="str">
        <f t="shared" si="2"/>
        <v>サンプルコード-Lab-Aid依頼番号-S3-ST2-P2</v>
      </c>
      <c r="G13" t="str">
        <f t="shared" si="2"/>
        <v>プロトコルコード-Lab-Aid依頼番号-S3-ST2-P2</v>
      </c>
      <c r="H13" t="str">
        <f t="shared" si="2"/>
        <v>依頼日時-Lab-Aid依頼番号-S3-ST2-P2</v>
      </c>
      <c r="I13" t="str">
        <f t="shared" si="2"/>
        <v>検査回数-Lab-Aid依頼番号-S3-ST2-P2</v>
      </c>
      <c r="J13" t="str">
        <f t="shared" si="2"/>
        <v>合否-Lab-Aid依頼番号-S3-ST2-P2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製造指図情報</vt:lpstr>
      <vt:lpstr>実行処方製品</vt:lpstr>
      <vt:lpstr>実行処方ヘッダ</vt:lpstr>
      <vt:lpstr>実行処方要素</vt:lpstr>
      <vt:lpstr>実行処方パラメータ</vt:lpstr>
      <vt:lpstr>実行処方リソース</vt:lpstr>
      <vt:lpstr>実行処方その他情報</vt:lpstr>
      <vt:lpstr>原材料引当</vt:lpstr>
      <vt:lpstr>検査性状値</vt:lpstr>
      <vt:lpstr>検査結果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KP3-TAKEO</dc:creator>
  <cp:lastModifiedBy>KP3-TAKEO</cp:lastModifiedBy>
  <dcterms:created xsi:type="dcterms:W3CDTF">2021-12-01T01:36:44Z</dcterms:created>
  <dcterms:modified xsi:type="dcterms:W3CDTF">2021-12-08T05:21:30Z</dcterms:modified>
</cp:coreProperties>
</file>